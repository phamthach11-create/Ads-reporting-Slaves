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arsonpkg" sheetId="3" r:id="rId1"/>
    <sheet name="Insight report" sheetId="9" r:id="rId2"/>
    <sheet name="search term and keyword" sheetId="13" r:id="rId3"/>
    <sheet name="data" sheetId="6" r:id="rId4"/>
    <sheet name="matched location pivot table" sheetId="14" r:id="rId5"/>
    <sheet name="Session source pivot table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<sst xmlns="http://schemas.openxmlformats.org/spreadsheetml/2006/main" count="1932" uniqueCount="604">
  <si>
    <t>Google</t>
  </si>
  <si>
    <t>Campaign performance</t>
  </si>
  <si>
    <t>September 1, 2026 - September 30, 2026</t>
  </si>
  <si>
    <t>Campaign</t>
  </si>
  <si>
    <t>Campaign state</t>
  </si>
  <si>
    <t>Campaign type</t>
  </si>
  <si>
    <t>Clicks</t>
  </si>
  <si>
    <t>Impr.</t>
  </si>
  <si>
    <t>CTR</t>
  </si>
  <si>
    <t>Currency code</t>
  </si>
  <si>
    <t>Avg. CPC</t>
  </si>
  <si>
    <t>Cost</t>
  </si>
  <si>
    <t>Impr. (Abs. Top) %</t>
  </si>
  <si>
    <t>Impr. (Top) %</t>
  </si>
  <si>
    <t>Conversions</t>
  </si>
  <si>
    <t>View-through conv.</t>
  </si>
  <si>
    <t>Cost / conv.</t>
  </si>
  <si>
    <t>Conv. rate</t>
  </si>
  <si>
    <t>LPC - subscribe ads 9/24/25</t>
  </si>
  <si>
    <t>Paused</t>
  </si>
  <si>
    <t>Demand Gen</t>
  </si>
  <si>
    <t>USD</t>
  </si>
  <si>
    <t>n.a.</t>
  </si>
  <si>
    <t>LPC - Web traffic - homepage - 6/7/26</t>
  </si>
  <si>
    <t>Enabled</t>
  </si>
  <si>
    <t>Performance Max</t>
  </si>
  <si>
    <t>Pelican - lead - home page 15/8/25</t>
  </si>
  <si>
    <t>Search</t>
  </si>
  <si>
    <t>Pelican - Web traffic - homepage - 6/29/26</t>
  </si>
  <si>
    <t>Total</t>
  </si>
  <si>
    <t>Key metrics</t>
  </si>
  <si>
    <t>This month</t>
  </si>
  <si>
    <t>Previous month</t>
  </si>
  <si>
    <t>Change</t>
  </si>
  <si>
    <t>LPC cost</t>
  </si>
  <si>
    <t>Pelican cost</t>
  </si>
  <si>
    <t>Impression</t>
  </si>
  <si>
    <t>Click</t>
  </si>
  <si>
    <t>CPC</t>
  </si>
  <si>
    <t>Lead</t>
  </si>
  <si>
    <t>CPL (account level)</t>
  </si>
  <si>
    <t>Youtube subscriber</t>
  </si>
  <si>
    <t>Performance Analysis</t>
  </si>
  <si>
    <t>In September, we spend $5,800, quite stable compared to last month</t>
  </si>
  <si>
    <t>Your account reached 91,619 impressions and 2,456 clicks last month. Despite the drop in volume, you generated 342 total conversions at an average cost per conversion of $16.99.</t>
  </si>
  <si>
    <t>The drop in impression is due to campaign Youtube scriberes pausing</t>
  </si>
  <si>
    <t>Your CPL increased 15.68%. But overall it still in control at $103</t>
  </si>
  <si>
    <t>CPC is stable compare to last month</t>
  </si>
  <si>
    <t>Overral, you have stable results compare to last month</t>
  </si>
  <si>
    <t>Search term and keywords analysis</t>
  </si>
  <si>
    <t>Top Keyword Performance</t>
  </si>
  <si>
    <t>"Custom foam cases" was a primary driver in September, generating 5 conversions at a $352.56 spend with a 5.78% CTR.</t>
  </si>
  <si>
    <t>The "Pelican cases" keyword saw a CPC reduction from $4.92 to $4.19, though it yielded 2 fewer conversions (5 vs 3) than in August.</t>
  </si>
  <si>
    <t>Keyword metrics reveal "SKB cases" yielded 1 conversion in August at $71.04 spend, with spend decreasing to $21.86 in September.</t>
  </si>
  <si>
    <t>September Market Insights: Intelligent Protection</t>
  </si>
  <si>
    <t xml:space="preserve">The industrial packaging market in September 2026 is shifting toward **intelligent protection** and AI-driven design to optimize performance. 
</t>
  </si>
  <si>
    <t>With custom case makers leading 36% of sales channels, your focus on tailored Pelican inserts aligns perfectly with the current $1.94 billion market demand for specialized electronics protection</t>
  </si>
  <si>
    <t>Auction and competitors insight</t>
  </si>
  <si>
    <t>Uline.com is your main competitors in September</t>
  </si>
  <si>
    <t>In your core Pelican - lead - home page 15/...
 Search campaign, you are frequently going head-to-head with Pelican.com (45% share) and Uline.com (39% share).</t>
  </si>
  <si>
    <t>For your Performance Max campaign, Uline is the dominant player with a 33.91% impression share, while your current share is below 10%.</t>
  </si>
  <si>
    <t>The overlap rate is 37.22%, However, When you both appear, Pelican's ads are in a higher position nearly 80% of the time.</t>
  </si>
  <si>
    <t>Next Action</t>
  </si>
  <si>
    <t>Keep LinkedIn paused and proceed with testing OpenAI ads to diversify high-intent traffic sources.</t>
  </si>
  <si>
    <t>Chart 1: Session source</t>
  </si>
  <si>
    <t>Traffic Source Performance</t>
  </si>
  <si>
    <t>Total GA4 sessions grew to 6,174 (+31%) in September from 4,699 in August.</t>
  </si>
  <si>
    <t>Google sessions (2,821) achieved 59.06% engagement and 120 key events, while Direct sessions (2,674) resulted in 39 key events.</t>
  </si>
  <si>
    <t>Mautic emerged as a source with 229 sessions and 0 key events in September.</t>
  </si>
  <si>
    <t>Bing sessions increased to 177 from 117 in August, while ChatGPT.com sessions decreased slightly to 67 from 73.</t>
  </si>
  <si>
    <t>LinkedIn traffic (15 sessions via linkedin and linkedin.com) was outside the top five sources for September.</t>
  </si>
  <si>
    <t>The "Other" category (206 sessions) transparently includes the 15-session residual to align with the 6,174 session total.</t>
  </si>
  <si>
    <t>Audience Behavior</t>
  </si>
  <si>
    <t>Who Is Your Audience?</t>
  </si>
  <si>
    <t>84% of September clicks have known age/gender data.</t>
  </si>
  <si>
    <t>Males aged 18–24 and 45–54 are the most active identified segments for non-subscriber leads.</t>
  </si>
  <si>
    <t>Group 18-24 tributes less conversion and should be excluded</t>
  </si>
  <si>
    <t>How Are They Searching?</t>
  </si>
  <si>
    <t>Non-subscriber leads are split between mobile (30) and desktop (26) out of 56 total.</t>
  </si>
  <si>
    <t>Lead forms (31 total) favor computers, with 23 desktop forms vs. 8 mobile forms.</t>
  </si>
  <si>
    <t>Mobile traffic primarily drives immediate engagement through call extensions and "Calls from ads."</t>
  </si>
  <si>
    <t>When Are They Active?</t>
  </si>
  <si>
    <t>Conversions peak during Tuesday business hours, with the highest volume at 2:00 PM Pacific.</t>
  </si>
  <si>
    <t>Activity is most concentrated between 9:00 AM and 4:00 PM Pacific on weekdays.</t>
  </si>
  <si>
    <t>Engagement continues into the evening at a lower volume, rather than stopping abruptly at the end of the workday.</t>
  </si>
  <si>
    <t>Matched Location</t>
  </si>
  <si>
    <t>California: Spend fell to $1,591.92 for 15 leads, resulting in a slightly higher $106.13 CPA compared to August’s $102.17.</t>
  </si>
  <si>
    <t>Bay Area: CPA rose sharply to $196.07 ($784.27 spend / 4 leads) from August’s $68.03 baseline.</t>
  </si>
  <si>
    <t>Texas: September spend was $242.89 for 2 leads at a $121.44 CPA, an increase from the $85.94 recorded in August.</t>
  </si>
  <si>
    <t>Other Regions: This subset drove 33 leads from $2,700.63 in spend, with the weighted CPA rising to $81.84.</t>
  </si>
  <si>
    <t>Other cost per conversion = Other total cost / Other total conversions. The $0.05 displayed-row rounding difference is reconciled in data.</t>
  </si>
  <si>
    <t>Region data excludes subscribe campaigns and retains zero-conversion regions. Regional total: $5,319.71 / 54 conversions; unmatched geography is outside this regional table.</t>
  </si>
  <si>
    <t>Search terms report</t>
  </si>
  <si>
    <t>September 1, 2026 - September 30, 2026 | Cost &gt; $0 | 397 search terms</t>
  </si>
  <si>
    <t>Search term</t>
  </si>
  <si>
    <t>Match type</t>
  </si>
  <si>
    <t>Keyword</t>
  </si>
  <si>
    <t>Total: Account</t>
  </si>
  <si>
    <t>Total: Performance Max</t>
  </si>
  <si>
    <t>Total: Filtered search terms</t>
  </si>
  <si>
    <t>Total: Search</t>
  </si>
  <si>
    <t>Total: Demand Gen</t>
  </si>
  <si>
    <t>larson packaging</t>
  </si>
  <si>
    <t>—</t>
  </si>
  <si>
    <t>larson packaging company</t>
  </si>
  <si>
    <t>pelican case</t>
  </si>
  <si>
    <t>custom case group</t>
  </si>
  <si>
    <t>merrill's packaging inc</t>
  </si>
  <si>
    <t>custom foam inserts</t>
  </si>
  <si>
    <t>Exact match (close variant)</t>
  </si>
  <si>
    <t>custom foam cases</t>
  </si>
  <si>
    <t>skb cases</t>
  </si>
  <si>
    <t>she pallets</t>
  </si>
  <si>
    <t>custom box packaging</t>
  </si>
  <si>
    <t>pelican intl inc</t>
  </si>
  <si>
    <t>pelican</t>
  </si>
  <si>
    <t>arizona corrugated container</t>
  </si>
  <si>
    <t>custom foam inserts for pelican cases</t>
  </si>
  <si>
    <t>Broad match</t>
  </si>
  <si>
    <t>pelican cases</t>
  </si>
  <si>
    <t>jbm packaging</t>
  </si>
  <si>
    <t>custom styrofoam</t>
  </si>
  <si>
    <t>pallet one mn inc</t>
  </si>
  <si>
    <t>pallet companies near me</t>
  </si>
  <si>
    <t>rusken packaging</t>
  </si>
  <si>
    <t>custom pelican cases</t>
  </si>
  <si>
    <t>Phrase match</t>
  </si>
  <si>
    <t>paperpak llc</t>
  </si>
  <si>
    <t>pallets for sale</t>
  </si>
  <si>
    <t>brown packaging</t>
  </si>
  <si>
    <t>pusterla us</t>
  </si>
  <si>
    <t>eco pallets inc</t>
  </si>
  <si>
    <t>ifco pallets</t>
  </si>
  <si>
    <t>pelican case customer service</t>
  </si>
  <si>
    <t>skb orange ca</t>
  </si>
  <si>
    <t>Phrase match (close variant)</t>
  </si>
  <si>
    <t>road cases</t>
  </si>
  <si>
    <t>freedom corrugated llc</t>
  </si>
  <si>
    <t>nelson case corp</t>
  </si>
  <si>
    <t>cell phone case manufacturers</t>
  </si>
  <si>
    <t>pelican products</t>
  </si>
  <si>
    <t>foam fabricators</t>
  </si>
  <si>
    <t>pallet one clarksville texas</t>
  </si>
  <si>
    <t>customizable foam</t>
  </si>
  <si>
    <t>my case builder</t>
  </si>
  <si>
    <t>bruce's pallets</t>
  </si>
  <si>
    <t>uline shipping supplies</t>
  </si>
  <si>
    <t>custom foam insert</t>
  </si>
  <si>
    <t>larsen packaging</t>
  </si>
  <si>
    <t>pelican case contact</t>
  </si>
  <si>
    <t>dm pallet services inc</t>
  </si>
  <si>
    <t>uline</t>
  </si>
  <si>
    <t>pelican case custom foam</t>
  </si>
  <si>
    <t>pelican cases customer service</t>
  </si>
  <si>
    <t>keller napoleon ohio</t>
  </si>
  <si>
    <t>pelicanfoam</t>
  </si>
  <si>
    <t>packaging corporation of america valdosta</t>
  </si>
  <si>
    <t>mauser corporation houston</t>
  </si>
  <si>
    <t>pelican 1660 case</t>
  </si>
  <si>
    <t>custom pelican case foam</t>
  </si>
  <si>
    <t>case manufacturer</t>
  </si>
  <si>
    <t>hoosier pallet milroy indiana</t>
  </si>
  <si>
    <t>pelican com</t>
  </si>
  <si>
    <t>jbb packaging</t>
  </si>
  <si>
    <t>plymouth pallet</t>
  </si>
  <si>
    <t>pallet supplier near me</t>
  </si>
  <si>
    <t>john rock pallets</t>
  </si>
  <si>
    <t>first coast pallet</t>
  </si>
  <si>
    <t>oakland pallet modesto</t>
  </si>
  <si>
    <t>foothill packing salinas</t>
  </si>
  <si>
    <t>custom cases for equipment</t>
  </si>
  <si>
    <t>packaging corporation of america</t>
  </si>
  <si>
    <t>custom pelican case</t>
  </si>
  <si>
    <t>millwood inc north haven pallet manufacturing facility</t>
  </si>
  <si>
    <t>chattahoochee pallets inc</t>
  </si>
  <si>
    <t>custom size cases</t>
  </si>
  <si>
    <t>mock pallet</t>
  </si>
  <si>
    <t>replacement foam pelican 1750</t>
  </si>
  <si>
    <t>nanuk cases</t>
  </si>
  <si>
    <t>pelican case ebay</t>
  </si>
  <si>
    <t>we buy pallets</t>
  </si>
  <si>
    <t>custom foam inserts for tool boxes</t>
  </si>
  <si>
    <t>american packaging west chester pa</t>
  </si>
  <si>
    <t>kamps pallets near me</t>
  </si>
  <si>
    <t>foam packing blocks</t>
  </si>
  <si>
    <t>custom shipping cases</t>
  </si>
  <si>
    <t>herman packaging co</t>
  </si>
  <si>
    <t>rocky mountain pallet</t>
  </si>
  <si>
    <t>custom crates</t>
  </si>
  <si>
    <t>recycled pallets for sale near me</t>
  </si>
  <si>
    <t>chico pallets jacksonville fl</t>
  </si>
  <si>
    <t>protec case</t>
  </si>
  <si>
    <t>protector case</t>
  </si>
  <si>
    <t>pelican case warranty</t>
  </si>
  <si>
    <t>custom foam for pelican case</t>
  </si>
  <si>
    <t>ccl container hermitage pa</t>
  </si>
  <si>
    <t>custom design pallets las vegas</t>
  </si>
  <si>
    <t>pelican case phone number</t>
  </si>
  <si>
    <t>beam distributing inc</t>
  </si>
  <si>
    <t>custom pallets near me</t>
  </si>
  <si>
    <t>fuertecases</t>
  </si>
  <si>
    <t>storm cases</t>
  </si>
  <si>
    <t>custom foam suppliers</t>
  </si>
  <si>
    <t>american pallet inc</t>
  </si>
  <si>
    <t>fantastapack</t>
  </si>
  <si>
    <t>custom foam cutting near me</t>
  </si>
  <si>
    <t>pallet company near me</t>
  </si>
  <si>
    <t>a&amp;i pallets</t>
  </si>
  <si>
    <t>special t's packaging</t>
  </si>
  <si>
    <t>pelican wheel kit</t>
  </si>
  <si>
    <t>the case place</t>
  </si>
  <si>
    <t>west coast pallets</t>
  </si>
  <si>
    <t>Exact match</t>
  </si>
  <si>
    <t>blue ridge pallet llc</t>
  </si>
  <si>
    <t>pelican products inc</t>
  </si>
  <si>
    <t>berlin packaging phone number</t>
  </si>
  <si>
    <t>pelican type cases</t>
  </si>
  <si>
    <t>AI Max</t>
  </si>
  <si>
    <t>pelican case for sale near me</t>
  </si>
  <si>
    <t>kamps pallets</t>
  </si>
  <si>
    <t>skb orange county</t>
  </si>
  <si>
    <t>crating companies near me</t>
  </si>
  <si>
    <t>pelican cases wholesale</t>
  </si>
  <si>
    <t>custom foam inserts for boxes near me</t>
  </si>
  <si>
    <t>case manufacturing</t>
  </si>
  <si>
    <t>complete packaging products</t>
  </si>
  <si>
    <t>sterling pallets</t>
  </si>
  <si>
    <t>custom case company</t>
  </si>
  <si>
    <t>pallet vendors near me</t>
  </si>
  <si>
    <t>cardboard distributors near me</t>
  </si>
  <si>
    <t>jamil packaging corporation</t>
  </si>
  <si>
    <t>mauser packaging solutions</t>
  </si>
  <si>
    <t>salem pallet</t>
  </si>
  <si>
    <t>48x96 pallet</t>
  </si>
  <si>
    <t>tool foam cutting</t>
  </si>
  <si>
    <t>fanfold cardboard</t>
  </si>
  <si>
    <t>atlanta pallets</t>
  </si>
  <si>
    <t>west coast supplies</t>
  </si>
  <si>
    <t>wood pallets for sale in georgia</t>
  </si>
  <si>
    <t>all star corrugated</t>
  </si>
  <si>
    <t>corrugated containers</t>
  </si>
  <si>
    <t>custom foam case builder</t>
  </si>
  <si>
    <t>encore cases</t>
  </si>
  <si>
    <t>casetech</t>
  </si>
  <si>
    <t>custom packaging foam inserts</t>
  </si>
  <si>
    <t>pallets indianapolis</t>
  </si>
  <si>
    <t>protector pelican case</t>
  </si>
  <si>
    <t>package boxes</t>
  </si>
  <si>
    <t>san gabriel valley warehouse &amp; storage inc</t>
  </si>
  <si>
    <t>crates for international shipping</t>
  </si>
  <si>
    <t>br pallet inc</t>
  </si>
  <si>
    <t>custom pallets nashville</t>
  </si>
  <si>
    <t>pallet one in bartow florida</t>
  </si>
  <si>
    <t>custom foam cutting for pelican cases</t>
  </si>
  <si>
    <t>crates for shipping overseas</t>
  </si>
  <si>
    <t>canpack olyphant pa</t>
  </si>
  <si>
    <t>custom foam insert for pelican case</t>
  </si>
  <si>
    <t>pallets for sale near me</t>
  </si>
  <si>
    <t>international pallets</t>
  </si>
  <si>
    <t>custom cut polyethylene foam</t>
  </si>
  <si>
    <t>middlefield pallet</t>
  </si>
  <si>
    <t>packing foam rolls</t>
  </si>
  <si>
    <t>hard shipping cases</t>
  </si>
  <si>
    <t>victory packaging bellingham</t>
  </si>
  <si>
    <t>larson pallet company</t>
  </si>
  <si>
    <t>pelican store</t>
  </si>
  <si>
    <t>mycasebuilder</t>
  </si>
  <si>
    <t>custom laser cut foam</t>
  </si>
  <si>
    <t>ashburn va pallets</t>
  </si>
  <si>
    <t>customized pallet</t>
  </si>
  <si>
    <t>kent custom cases</t>
  </si>
  <si>
    <t>b&amp;c industries</t>
  </si>
  <si>
    <t>innerspace cases</t>
  </si>
  <si>
    <t>custom boxes near me</t>
  </si>
  <si>
    <t>pelican stores near me</t>
  </si>
  <si>
    <t>wholesale foam distributors</t>
  </si>
  <si>
    <t>kamps pallets inc columbus</t>
  </si>
  <si>
    <t>pelican case protector</t>
  </si>
  <si>
    <t>foam inserts for hard cases</t>
  </si>
  <si>
    <t>foam case</t>
  </si>
  <si>
    <t>uline mexico</t>
  </si>
  <si>
    <t>6 foot pallet</t>
  </si>
  <si>
    <t>pallet recycling cincinnati</t>
  </si>
  <si>
    <t>custom aluminum storage box</t>
  </si>
  <si>
    <t>coroplast sheets</t>
  </si>
  <si>
    <t>pelican custom foam</t>
  </si>
  <si>
    <t>how to customize pelican case foam</t>
  </si>
  <si>
    <t>pelican foam inserts</t>
  </si>
  <si>
    <t>crating in los angeles</t>
  </si>
  <si>
    <t>hard case</t>
  </si>
  <si>
    <t>cpd industries</t>
  </si>
  <si>
    <t>9 block pallets</t>
  </si>
  <si>
    <t>hprc cases</t>
  </si>
  <si>
    <t>gpc hard case</t>
  </si>
  <si>
    <t>eaton tactical innovations</t>
  </si>
  <si>
    <t>pak factory</t>
  </si>
  <si>
    <t>danhill containers</t>
  </si>
  <si>
    <t>pelican 1505 case</t>
  </si>
  <si>
    <t>pallets ny</t>
  </si>
  <si>
    <t>pelican 1740 foam insert</t>
  </si>
  <si>
    <t>custom wooden crates</t>
  </si>
  <si>
    <t>continuum packing solutions</t>
  </si>
  <si>
    <t>pelican 1750 replacement foam</t>
  </si>
  <si>
    <t>tucson container corporation</t>
  </si>
  <si>
    <t>pelican case foam inserts</t>
  </si>
  <si>
    <t>custom foam cutout</t>
  </si>
  <si>
    <t>springfield corrugated box inc</t>
  </si>
  <si>
    <t>lawson packaging</t>
  </si>
  <si>
    <t>amen packaging inc</t>
  </si>
  <si>
    <t>used zarges cases for sale</t>
  </si>
  <si>
    <t>hard case finder</t>
  </si>
  <si>
    <t>we buy pallets near me</t>
  </si>
  <si>
    <t>boston pallets recycling</t>
  </si>
  <si>
    <t>mcelroy packaging</t>
  </si>
  <si>
    <t>custom size pick and pluck foam</t>
  </si>
  <si>
    <t>pelican crate 45</t>
  </si>
  <si>
    <t>graphic packaging</t>
  </si>
  <si>
    <t>foam for case inserts</t>
  </si>
  <si>
    <t>pelican wheel replacement</t>
  </si>
  <si>
    <t>crates for sale near me</t>
  </si>
  <si>
    <t>custom pelican inserts</t>
  </si>
  <si>
    <t>american west pallets</t>
  </si>
  <si>
    <t>pelican 1740 foam</t>
  </si>
  <si>
    <t>hd pallet company</t>
  </si>
  <si>
    <t>pelican 1705 air</t>
  </si>
  <si>
    <t>kamps pallets inc</t>
  </si>
  <si>
    <t>pelican 1700 custom foam</t>
  </si>
  <si>
    <t>wood pallets near me</t>
  </si>
  <si>
    <t>kamp pallets near me</t>
  </si>
  <si>
    <t>pelican distributors near me</t>
  </si>
  <si>
    <t>peco pallets</t>
  </si>
  <si>
    <t>trekpak</t>
  </si>
  <si>
    <t>custom eva foam inserts</t>
  </si>
  <si>
    <t>wooden pallets for sale</t>
  </si>
  <si>
    <t>protective packaging corporation</t>
  </si>
  <si>
    <t>custom pallets atlanta</t>
  </si>
  <si>
    <t>pelican case pistol foam insert</t>
  </si>
  <si>
    <t>corrugated 4x8 sheets</t>
  </si>
  <si>
    <t>custom foam cutouts</t>
  </si>
  <si>
    <t>wood crates miami</t>
  </si>
  <si>
    <t>case club</t>
  </si>
  <si>
    <t>pallet shops near me</t>
  </si>
  <si>
    <t>lynwood pallets co</t>
  </si>
  <si>
    <t>pelican equipment cases</t>
  </si>
  <si>
    <t>shipping crates wood</t>
  </si>
  <si>
    <t>who buys wooden pallets near me</t>
  </si>
  <si>
    <t>corrugated plastic sheets</t>
  </si>
  <si>
    <t>tri state crating &amp; pallet co</t>
  </si>
  <si>
    <t>custom foam cutting</t>
  </si>
  <si>
    <t>oakland pallets</t>
  </si>
  <si>
    <t>smurfit westrock</t>
  </si>
  <si>
    <t>packaging companies near me</t>
  </si>
  <si>
    <t>foam for pelican cases</t>
  </si>
  <si>
    <t>lp packaging products inc</t>
  </si>
  <si>
    <t>mckinley packaging</t>
  </si>
  <si>
    <t>custom crate builders near me</t>
  </si>
  <si>
    <t>greenseed contract packaging</t>
  </si>
  <si>
    <t>pelican foam</t>
  </si>
  <si>
    <t>perry pallets</t>
  </si>
  <si>
    <t>pelican hard cases</t>
  </si>
  <si>
    <t>stringer pallet vs block pallet</t>
  </si>
  <si>
    <t>pallet one chase city va</t>
  </si>
  <si>
    <t>custom pelican case inserts</t>
  </si>
  <si>
    <t>emmbi industries</t>
  </si>
  <si>
    <t>used pallet company</t>
  </si>
  <si>
    <t>pak it products</t>
  </si>
  <si>
    <t>used pallets for sale</t>
  </si>
  <si>
    <t>pelican vault v800 foam</t>
  </si>
  <si>
    <t>pelican 1615 foam</t>
  </si>
  <si>
    <t>top shelf wood packaging</t>
  </si>
  <si>
    <t>custom crate</t>
  </si>
  <si>
    <t>corrugated box manufacturers in georgia</t>
  </si>
  <si>
    <t>weber packaging solutions</t>
  </si>
  <si>
    <t>flight cases usa</t>
  </si>
  <si>
    <t>pallets r us</t>
  </si>
  <si>
    <t>i2r</t>
  </si>
  <si>
    <t>amcor monroeville ohio</t>
  </si>
  <si>
    <t>lightweight pelican cases</t>
  </si>
  <si>
    <t>miami's pallets</t>
  </si>
  <si>
    <t>padded gear bags</t>
  </si>
  <si>
    <t>pick and pluck foam sheets</t>
  </si>
  <si>
    <t>anvil cases</t>
  </si>
  <si>
    <t>texas corrugated box</t>
  </si>
  <si>
    <t>custom cardboard sheets</t>
  </si>
  <si>
    <t>custom foam packaging</t>
  </si>
  <si>
    <t>pick and pack foam</t>
  </si>
  <si>
    <t>pelican case 1740</t>
  </si>
  <si>
    <t>ata flight cases</t>
  </si>
  <si>
    <t>laser cut foam for pelican cases</t>
  </si>
  <si>
    <t>belmark scottsville ky</t>
  </si>
  <si>
    <t>wooden pallets</t>
  </si>
  <si>
    <t>skb iseries 2011 7 case</t>
  </si>
  <si>
    <t>wood pallet 48 x 40 4 way</t>
  </si>
  <si>
    <t>larson packaging milpitas ca</t>
  </si>
  <si>
    <t>where to buy pallets near me</t>
  </si>
  <si>
    <t>pallet construction</t>
  </si>
  <si>
    <t>aluminum tool case</t>
  </si>
  <si>
    <t>larsen packaging products inc</t>
  </si>
  <si>
    <t>pelican air case</t>
  </si>
  <si>
    <t>used wooden crates</t>
  </si>
  <si>
    <t>wooden crates</t>
  </si>
  <si>
    <t>uline com</t>
  </si>
  <si>
    <t>apache 3800 foam insert</t>
  </si>
  <si>
    <t>foam distributors</t>
  </si>
  <si>
    <t>cushion packing</t>
  </si>
  <si>
    <t>pelican company</t>
  </si>
  <si>
    <t>sanjay pallets</t>
  </si>
  <si>
    <t>box crates for sale</t>
  </si>
  <si>
    <t>pelican 1750 foam replacement</t>
  </si>
  <si>
    <t>wood pallets for sale near me</t>
  </si>
  <si>
    <t>wooden shipping crates</t>
  </si>
  <si>
    <t>foamcraft packaging inc</t>
  </si>
  <si>
    <t>pelican case sizes</t>
  </si>
  <si>
    <t>crown packaging louisville ky</t>
  </si>
  <si>
    <t>where to find crates</t>
  </si>
  <si>
    <t>wooden crate clips</t>
  </si>
  <si>
    <t>valley pallet inc</t>
  </si>
  <si>
    <t>wooden packing box near me</t>
  </si>
  <si>
    <t>custom foam case inserts</t>
  </si>
  <si>
    <t>shark crates</t>
  </si>
  <si>
    <t>wood pallets for sale sacramento</t>
  </si>
  <si>
    <t>pelican case foam replacement</t>
  </si>
  <si>
    <t>ecopack america</t>
  </si>
  <si>
    <t>sharkcrate</t>
  </si>
  <si>
    <t>who makes pelican cases</t>
  </si>
  <si>
    <t>packaging corporation of america minneapolis</t>
  </si>
  <si>
    <t>larson pallet</t>
  </si>
  <si>
    <t>larsen packaging products</t>
  </si>
  <si>
    <t>mcneilly wood products</t>
  </si>
  <si>
    <t>pallets for sale richmond va</t>
  </si>
  <si>
    <t>royal paper box</t>
  </si>
  <si>
    <t>dcg packing</t>
  </si>
  <si>
    <t>aa florida pallets</t>
  </si>
  <si>
    <t>pelican 1740 custom foam</t>
  </si>
  <si>
    <t>custom pelican foam inserts</t>
  </si>
  <si>
    <t>molded wood pallets</t>
  </si>
  <si>
    <t>palletco</t>
  </si>
  <si>
    <t>southern container llc</t>
  </si>
  <si>
    <t>calzone anvil</t>
  </si>
  <si>
    <t>shorr packaging</t>
  </si>
  <si>
    <t>four seasons packaging</t>
  </si>
  <si>
    <t>custom built crates</t>
  </si>
  <si>
    <t>custom foam pelican case</t>
  </si>
  <si>
    <t>where to buy new pallets near me</t>
  </si>
  <si>
    <t>pelican case san francisco</t>
  </si>
  <si>
    <t>packing foam for sale</t>
  </si>
  <si>
    <t>pretium packaging hazleton pa</t>
  </si>
  <si>
    <t>what are pelican cases made of</t>
  </si>
  <si>
    <t>pelican gun cases</t>
  </si>
  <si>
    <t>pallet mill near me</t>
  </si>
  <si>
    <t>pallet yards near me</t>
  </si>
  <si>
    <t>40x48 pallets for sale</t>
  </si>
  <si>
    <t>clinton pallet co</t>
  </si>
  <si>
    <t>custom polyethylene foam</t>
  </si>
  <si>
    <t>empresas de empaque</t>
  </si>
  <si>
    <t>pallets miami</t>
  </si>
  <si>
    <t>pallets home depot</t>
  </si>
  <si>
    <t>pelican 1646 air case</t>
  </si>
  <si>
    <t>dcg packaging</t>
  </si>
  <si>
    <t>pakrite express</t>
  </si>
  <si>
    <t>pallets llc</t>
  </si>
  <si>
    <t>woodpack global</t>
  </si>
  <si>
    <t>larson packaging company llc</t>
  </si>
  <si>
    <t>pallet sales near me</t>
  </si>
  <si>
    <t>ohio state pallet</t>
  </si>
  <si>
    <t>larson pallets</t>
  </si>
  <si>
    <t># ----------------------------------------</t>
  </si>
  <si>
    <t># Traffic acquisition: Session source</t>
  </si>
  <si>
    <t># Account: Larson Pallet &amp; Crating</t>
  </si>
  <si>
    <t># Property: Larson Packaging Company</t>
  </si>
  <si>
    <t xml:space="preserve"># </t>
  </si>
  <si>
    <t># All Users</t>
  </si>
  <si>
    <t># Start date: 20260901</t>
  </si>
  <si>
    <t># End date: 20260930</t>
  </si>
  <si>
    <t>Session source</t>
  </si>
  <si>
    <t>Sessions</t>
  </si>
  <si>
    <t>Engaged sessions</t>
  </si>
  <si>
    <t>Engagement rate</t>
  </si>
  <si>
    <t>Average engagement time per session</t>
  </si>
  <si>
    <t>Events per session</t>
  </si>
  <si>
    <t>Event count</t>
  </si>
  <si>
    <t>Key events</t>
  </si>
  <si>
    <t>Session key event rate</t>
  </si>
  <si>
    <t>Total revenue</t>
  </si>
  <si>
    <t>google</t>
  </si>
  <si>
    <t>(direct)</t>
  </si>
  <si>
    <t>Mautic</t>
  </si>
  <si>
    <t>bing</t>
  </si>
  <si>
    <t>chatgpt.com</t>
  </si>
  <si>
    <t>business.pelican.com</t>
  </si>
  <si>
    <t>aocr.org</t>
  </si>
  <si>
    <t>(data not available)</t>
  </si>
  <si>
    <t>(not set)</t>
  </si>
  <si>
    <t>teams.public.onecdn.static.microsoft</t>
  </si>
  <si>
    <t>linkedin.com</t>
  </si>
  <si>
    <t>customcases.local</t>
  </si>
  <si>
    <t>duckduckgo</t>
  </si>
  <si>
    <t>statics.gov.teams.microsoft.us</t>
  </si>
  <si>
    <t>MAUTIC</t>
  </si>
  <si>
    <t>gemini.google.com</t>
  </si>
  <si>
    <t>t.co</t>
  </si>
  <si>
    <t>Zbhgvd</t>
  </si>
  <si>
    <t>yahoo</t>
  </si>
  <si>
    <t>zoominfo.com</t>
  </si>
  <si>
    <t>app.clickup.com</t>
  </si>
  <si>
    <t>linkedin</t>
  </si>
  <si>
    <t>phmediagroup.lightning.force.com</t>
  </si>
  <si>
    <t>waimao.office.163.com</t>
  </si>
  <si>
    <t>apps2.coloniallife.com</t>
  </si>
  <si>
    <t>cn.bing.com</t>
  </si>
  <si>
    <t>cnbcc.lightning.force.com</t>
  </si>
  <si>
    <t>copilot.microsoft.com</t>
  </si>
  <si>
    <t>doubao.com</t>
  </si>
  <si>
    <t>ecosia.org</t>
  </si>
  <si>
    <t>facebook</t>
  </si>
  <si>
    <t>facebook.com</t>
  </si>
  <si>
    <t>goserch.com</t>
  </si>
  <si>
    <t>gwepack.com</t>
  </si>
  <si>
    <t>images.search.yahoo.com</t>
  </si>
  <si>
    <t>ironfarm.tech</t>
  </si>
  <si>
    <t>kagi.com</t>
  </si>
  <si>
    <t>maps.apple.com</t>
  </si>
  <si>
    <t>mautic</t>
  </si>
  <si>
    <t>prime.silvaris.com</t>
  </si>
  <si>
    <t>roechling-plastics.lightning.force.com</t>
  </si>
  <si>
    <t>tagassistant.google.com</t>
  </si>
  <si>
    <t>usc-word-edit.officeapps.live.com</t>
  </si>
  <si>
    <t>v2.ventureiq.io</t>
  </si>
  <si>
    <t>yahoo.com</t>
  </si>
  <si>
    <t>youtube.com</t>
  </si>
  <si>
    <t>GA4 displayed report total</t>
  </si>
  <si>
    <t>Unallocated sessions: displayed total less exported sources</t>
  </si>
  <si>
    <t>GA4 export: 46 sources, 6,159 sessions; displayed report total: 6,174. Other includes the 15-session residual.</t>
  </si>
  <si>
    <t>Audience source: Google Ads Overview, September 1–30, Campaign name does not contain subscribe. 35 campaigns; only 3 had spend.</t>
  </si>
  <si>
    <t>Devices (Cost / Clicks / Submit lead forms): Mobile 59.2% / 68.4% / 25.8%; Computers 40.5% / 30.5% / 74.2%.</t>
  </si>
  <si>
    <t>Demographics: 84% known age/gender; male 18–24 darkest click heatmap cell. Timing: Tuesday strongest; morning peak around 9–10 AM, Pacific Time.</t>
  </si>
  <si>
    <t>Non-subscriber displayed view cost: $5,423.27; rounded campaign-row cost sum: $5,423.26.</t>
  </si>
  <si>
    <t>Lead definition: standard Conversions for non-subscriber campaigns. Subscriber campaign Conversions are subscriber counts.</t>
  </si>
  <si>
    <t>Analysis source: Google Ads Advisor, queried October 7, 2026 for September 1–30 versus August 1–31.</t>
  </si>
  <si>
    <t>Google Ads campaign report: Cost &gt; $0; four campaigns; View-through conversions = 0; Search absolute-top/top impression rates 20.08% / 68.76%.</t>
  </si>
  <si>
    <t>Matched locations report — Region — September 1–30, 2026 — subscriber campaigns excluded</t>
  </si>
  <si>
    <t>Matched location</t>
  </si>
  <si>
    <t>California, United States</t>
  </si>
  <si>
    <t>San Francisco Bay Area, California, United States</t>
  </si>
  <si>
    <t>Texas, United States</t>
  </si>
  <si>
    <t>Silicon Valley, California, United States</t>
  </si>
  <si>
    <t>Florida, United States</t>
  </si>
  <si>
    <t>Ohio, United States</t>
  </si>
  <si>
    <t>Illinois, United States</t>
  </si>
  <si>
    <t>Washington, United States</t>
  </si>
  <si>
    <t>New York, United States</t>
  </si>
  <si>
    <t>Pennsylvania, United States</t>
  </si>
  <si>
    <t>Georgia, United States</t>
  </si>
  <si>
    <t>Arizona, United States</t>
  </si>
  <si>
    <t>Indiana, United States</t>
  </si>
  <si>
    <t>Virginia, United States</t>
  </si>
  <si>
    <t>North Carolina, United States</t>
  </si>
  <si>
    <t>Oregon, United States</t>
  </si>
  <si>
    <t>Colorado, United States</t>
  </si>
  <si>
    <t>New Jersey, United States</t>
  </si>
  <si>
    <t>Minnesota, United States</t>
  </si>
  <si>
    <t>Missouri, United States</t>
  </si>
  <si>
    <t>Nevada, United States</t>
  </si>
  <si>
    <t>Michigan, United States</t>
  </si>
  <si>
    <t>Massachusetts, United States</t>
  </si>
  <si>
    <t>Kentucky, United States</t>
  </si>
  <si>
    <t>Mississippi, United States</t>
  </si>
  <si>
    <t>Delaware, United States</t>
  </si>
  <si>
    <t>Alabama, United States</t>
  </si>
  <si>
    <t>Tennessee, United States</t>
  </si>
  <si>
    <t>Wisconsin, United States</t>
  </si>
  <si>
    <t>South Carolina, United States</t>
  </si>
  <si>
    <t>Oklahoma, United States</t>
  </si>
  <si>
    <t>Maryland, United States</t>
  </si>
  <si>
    <t>Utah, United States</t>
  </si>
  <si>
    <t>Louisiana, United States</t>
  </si>
  <si>
    <t>Idaho, United States</t>
  </si>
  <si>
    <t>Iowa, United States</t>
  </si>
  <si>
    <t>New Hampshire, United States</t>
  </si>
  <si>
    <t>Connecticut, United States</t>
  </si>
  <si>
    <t>South Dakota, United States</t>
  </si>
  <si>
    <t>West Virginia, United States</t>
  </si>
  <si>
    <t>Rhode Island, United States</t>
  </si>
  <si>
    <t>Alaska, United States</t>
  </si>
  <si>
    <t>Maine, United States</t>
  </si>
  <si>
    <t>New Mexico, United States</t>
  </si>
  <si>
    <t>Kansas, United States</t>
  </si>
  <si>
    <t>Arkansas, United States</t>
  </si>
  <si>
    <t>Vermont, United States</t>
  </si>
  <si>
    <t>Wyoming, United States</t>
  </si>
  <si>
    <t>Montana, United States</t>
  </si>
  <si>
    <t>District of Columbia, United States</t>
  </si>
  <si>
    <t>Nebraska, United States</t>
  </si>
  <si>
    <t>Hawaii, United States</t>
  </si>
  <si>
    <t>North Dakota, United States</t>
  </si>
  <si>
    <t>Total: Filtered locations</t>
  </si>
  <si>
    <t>Total: Display</t>
  </si>
  <si>
    <t>Displayed-cost rounding adjustment</t>
  </si>
  <si>
    <t>Region rows retain zero conversions. Displayed costs differ from the source total by $0.05; Other uses the reported regional total.</t>
  </si>
  <si>
    <t>Location</t>
  </si>
  <si>
    <t>California</t>
  </si>
  <si>
    <t>Bay</t>
  </si>
  <si>
    <t>Texas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</si>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</sst>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_ * #,##0.00_ ;_ * \-#,##0.00_ ;_ * &quot;-&quot;??.00_ ;_ @_ "/>
    <numFmt numFmtId="180" formatCode="_ * #,##0_ ;_ * \-#,##0_ ;_ * &quot;-&quot;??_ ;_ @_ "/>
    <numFmt numFmtId="181" formatCode="_ * #,##0.0_ ;_ * \-#,##0.0_ ;_ * &quot;-&quot;??.0_ ;_ @_ "/>
    <numFmt numFmtId="182" formatCode="yyyy\-mm\-dd"/>
    <numFmt numFmtId="183" formatCode="0.00_ "/>
  </numFmts>
  <fonts count="20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4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178" fontId="0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0" fontId="0" fillId="0" borderId="0" xfId="3" applyNumberFormat="1">
      <alignment vertical="center"/>
    </xf>
    <xf numFmtId="9" fontId="0" fillId="0" borderId="0" xfId="3">
      <alignment vertical="center"/>
    </xf>
    <xf numFmtId="176" fontId="0" fillId="0" borderId="0" xfId="1">
      <alignment vertical="center"/>
    </xf>
    <xf numFmtId="10" fontId="0" fillId="0" borderId="0" xfId="0" applyNumberFormat="1" applyFont="1" applyFill="1" applyBorder="1" applyAlignment="1">
      <alignment vertical="center"/>
    </xf>
    <xf numFmtId="10" fontId="0" fillId="0" borderId="0" xfId="0" applyNumberFormat="1" applyFill="1" applyAlignment="1">
      <alignment vertical="center"/>
    </xf>
    <xf numFmtId="2" fontId="0" fillId="0" borderId="0" xfId="0" applyNumberFormat="1" applyFont="1" applyFill="1" applyBorder="1" applyAlignment="1">
      <alignment vertical="center"/>
    </xf>
    <xf numFmtId="4" fontId="0" fillId="0" borderId="0" xfId="0" applyNumberFormat="1" applyFill="1" applyAlignme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/>
    </xf>
    <xf numFmtId="179" fontId="0" fillId="0" borderId="0" xfId="1" applyNumberFormat="1">
      <alignment vertical="center"/>
    </xf>
    <xf numFmtId="3" fontId="0" fillId="0" borderId="0" xfId="0" applyNumberFormat="1" applyFill="1" applyAlignment="1">
      <alignment vertical="center"/>
    </xf>
    <xf numFmtId="10" fontId="1" fillId="0" borderId="0" xfId="3" applyNumberFormat="1" applyFont="1">
      <alignment vertical="center"/>
    </xf>
    <xf numFmtId="176" fontId="1" fillId="0" borderId="0" xfId="1" applyFont="1">
      <alignment vertical="center"/>
    </xf>
    <xf numFmtId="10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0" fontId="0" fillId="0" borderId="0" xfId="3" applyNumberFormat="1" applyAlignment="1">
      <alignment horizontal="right" vertical="center"/>
    </xf>
    <xf numFmtId="180" fontId="0" fillId="0" borderId="0" xfId="1" applyNumberFormat="1">
      <alignment vertical="center"/>
    </xf>
    <xf numFmtId="181" fontId="0" fillId="0" borderId="0" xfId="1" applyNumberFormat="1">
      <alignment vertical="center"/>
    </xf>
    <xf numFmtId="179" fontId="1" fillId="0" borderId="0" xfId="1" applyNumberFormat="1" applyFont="1">
      <alignment vertical="center"/>
    </xf>
    <xf numFmtId="179" fontId="0" fillId="0" borderId="0" xfId="1" applyNumberFormat="1" applyFont="1">
      <alignment vertical="center"/>
    </xf>
    <xf numFmtId="179" fontId="1" fillId="0" borderId="0" xfId="1" applyNumberFormat="1" applyFo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79" fontId="0" fillId="0" borderId="0" xfId="1" applyNumberFormat="1" applyFont="1">
      <alignment vertical="center"/>
    </xf>
    <xf numFmtId="179" fontId="0" fillId="0" borderId="0" xfId="1" applyNumberFormat="1" applyFont="1" applyAlignment="1">
      <alignment vertical="center"/>
    </xf>
    <xf numFmtId="182" fontId="0" fillId="0" borderId="0" xfId="0" applyNumberFormat="1" applyFont="1" applyFill="1" applyBorder="1" applyAlignment="1">
      <alignment vertical="center"/>
    </xf>
    <xf numFmtId="183" fontId="0" fillId="0" borderId="0" xfId="0" applyNumberFormat="1">
      <alignment vertical="center"/>
    </xf>
    <xf numFmtId="9" fontId="0" fillId="0" borderId="0" xfId="3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Larsonpkg!$A$14:$A$15</c:f>
              <c:strCache>
                <c:ptCount val="2"/>
                <c:pt idx="0">
                  <c:v>LPC cost</c:v>
                </c:pt>
                <c:pt idx="1">
                  <c:v>Pelican cost</c:v>
                </c:pt>
              </c:strCache>
            </c:strRef>
          </c:cat>
          <c:val>
            <c:numRef>
              <c:f>Larsonpkg!$B$14:$B$15</c:f>
              <c:numCache>
                <c:formatCode>_ * #,##0.00_ ;_ * \-#,##0.00_ ;_ * "-"??.00_ ;_ @_ </c:formatCode>
                <c:ptCount val="2"/>
                <c:pt idx="0">
                  <c:v>3826.69</c:v>
                </c:pt>
                <c:pt idx="1">
                  <c:v>1982.69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t"/>
      <c:layout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d45da2-0f05-4f67-8b6d-a0d7d0d6b191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'matched location pivot table'!$B$1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'matched location pivot table'!$A$2:$A$5</c:f>
              <c:strCache>
                <c:ptCount val="4"/>
                <c:pt idx="0">
                  <c:v>California</c:v>
                </c:pt>
                <c:pt idx="1">
                  <c:v>Bay</c:v>
                </c:pt>
                <c:pt idx="2">
                  <c:v>Texas</c:v>
                </c:pt>
                <c:pt idx="3">
                  <c:v>Other</c:v>
                </c:pt>
              </c:strCache>
            </c:strRef>
          </c:cat>
          <c:val>
            <c:numRef>
              <c:f>'matched location pivot table'!$B$2:$B$5</c:f>
              <c:numCache>
                <c:formatCode>"$"#,##0.00</c:formatCode>
                <c:ptCount val="4"/>
                <c:pt idx="0">
                  <c:v>1591.92</c:v>
                </c:pt>
                <c:pt idx="1">
                  <c:v>784.27</c:v>
                </c:pt>
                <c:pt idx="2">
                  <c:v>242.89</c:v>
                </c:pt>
                <c:pt idx="3">
                  <c:v>2700.63</c:v>
                </c:pt>
              </c:numCache>
            </c:numRef>
          </c:val>
        </c:ser>
        <c:ser>
          <c:idx val="1"/>
          <c:order val="1"/>
          <c:tx>
            <c:strRef>
              <c:f>'matched location pivot table'!$C$1</c:f>
              <c:strCache>
                <c:ptCount val="1"/>
                <c:pt idx="0">
                  <c:v>Cost / conv.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'matched location pivot table'!$A$2:$A$5</c:f>
              <c:strCache>
                <c:ptCount val="4"/>
                <c:pt idx="0">
                  <c:v>California</c:v>
                </c:pt>
                <c:pt idx="1">
                  <c:v>Bay</c:v>
                </c:pt>
                <c:pt idx="2">
                  <c:v>Texas</c:v>
                </c:pt>
                <c:pt idx="3">
                  <c:v>Other</c:v>
                </c:pt>
              </c:strCache>
            </c:strRef>
          </c:cat>
          <c:val>
            <c:numRef>
              <c:f>'matched location pivot table'!$C$2:$C$5</c:f>
              <c:numCache>
                <c:formatCode>"$"#,##0.00</c:formatCode>
                <c:ptCount val="4"/>
                <c:pt idx="0">
                  <c:v>106.13</c:v>
                </c:pt>
                <c:pt idx="1">
                  <c:v>196.07</c:v>
                </c:pt>
                <c:pt idx="2">
                  <c:v>121.44</c:v>
                </c:pt>
                <c:pt idx="3">
                  <c:v>81.8372727272727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15108015"/>
        <c:axId val="840238808"/>
      </c:barChart>
      <c:catAx>
        <c:axId val="151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840238808"/>
        <c:crosses val="autoZero"/>
        <c:auto val="1"/>
        <c:lblAlgn val="ctr"/>
        <c:lblOffset val="100"/>
        <c:noMultiLvlLbl val="0"/>
      </c:catAx>
      <c:valAx>
        <c:axId val="84023880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title>
          <c:layout/>
          <c:overlay val="0"/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&quot;$&quot;#,##0.00" sourceLinked="1"/>
        <c:majorTickMark val="none"/>
        <c:minorTickMark val="none"/>
        <c:tickLblPos val="nextTo"/>
        <c:spPr>
          <a:ln w="6350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5108015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fbcf084-b72c-4c47-98fb-ccce85ebd78b}"/>
      </c:ext>
    </c:extLst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Session source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'Session source pivot table'!$C$1</c:f>
              <c:strCache>
                <c:ptCount val="1"/>
                <c:pt idx="0">
                  <c:v>Sessions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-0.0931701539676273"/>
                  <c:y val="0.041676313961565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631662060797473"/>
                  <c:y val="-0.030562630238481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76865377023293"/>
                  <c:y val="-0.027784209307710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16739044611133"/>
                  <c:y val="0.025005788376939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'Session source pivot table'!$B$2:$B$7</c:f>
              <c:strCache>
                <c:ptCount val="6"/>
                <c:pt idx="0">
                  <c:v>google</c:v>
                </c:pt>
                <c:pt idx="1">
                  <c:v>(direct)</c:v>
                </c:pt>
                <c:pt idx="2">
                  <c:v>Mautic</c:v>
                </c:pt>
                <c:pt idx="3">
                  <c:v>bing</c:v>
                </c:pt>
                <c:pt idx="4">
                  <c:v>chatgpt.com</c:v>
                </c:pt>
                <c:pt idx="5">
                  <c:v>Other</c:v>
                </c:pt>
              </c:strCache>
            </c:strRef>
          </c:cat>
          <c:val>
            <c:numRef>
              <c:f>'Session source pivot table'!$C$2:$C$7</c:f>
              <c:numCache>
                <c:formatCode>#,##0</c:formatCode>
                <c:ptCount val="6"/>
                <c:pt idx="0">
                  <c:v>2821</c:v>
                </c:pt>
                <c:pt idx="1">
                  <c:v>2674</c:v>
                </c:pt>
                <c:pt idx="2">
                  <c:v>229</c:v>
                </c:pt>
                <c:pt idx="3">
                  <c:v>177</c:v>
                </c:pt>
                <c:pt idx="4">
                  <c:v>67</c:v>
                </c:pt>
                <c:pt idx="5">
                  <c:v>206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889e63-f0ef-4a61-97b2-654c0f85f1f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474980</xdr:colOff>
      <xdr:row>10</xdr:row>
      <xdr:rowOff>149860</xdr:rowOff>
    </xdr:from>
    <xdr:to>
      <xdr:col>9</xdr:col>
      <xdr:colOff>6985</xdr:colOff>
      <xdr:row>22</xdr:row>
      <xdr:rowOff>49530</xdr:rowOff>
    </xdr:to>
    <xdr:graphicFrame>
      <xdr:nvGraphicFramePr>
        <xdr:cNvPr id="2" name="Chart"/>
        <xdr:cNvGraphicFramePr/>
      </xdr:nvGraphicFramePr>
      <xdr:xfrm>
        <a:off x="5527040" y="1978660"/>
        <a:ext cx="2785745" cy="2094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58</xdr:row>
      <xdr:rowOff>0</xdr:rowOff>
    </xdr:from>
    <xdr:to>
      <xdr:col>13</xdr:col>
      <xdr:colOff>1905</xdr:colOff>
      <xdr:row>76</xdr:row>
      <xdr:rowOff>6350</xdr:rowOff>
    </xdr:to>
    <xdr:graphicFrame>
      <xdr:nvGraphicFramePr>
        <xdr:cNvPr id="2" name="Chart"/>
        <xdr:cNvGraphicFramePr/>
      </xdr:nvGraphicFramePr>
      <xdr:xfrm>
        <a:off x="7620" y="10652760"/>
        <a:ext cx="7919085" cy="3298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558800</xdr:colOff>
      <xdr:row>15</xdr:row>
      <xdr:rowOff>0</xdr:rowOff>
    </xdr:to>
    <xdr:graphicFrame>
      <xdr:nvGraphicFramePr>
        <xdr:cNvPr id="3" name="Chart" descr="7b0a202020202263686172745265734964223a20223230343735393537220a7d0a"/>
        <xdr:cNvGraphicFramePr/>
      </xdr:nvGraphicFramePr>
      <xdr:xfrm>
        <a:off x="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5</xdr:col>
      <xdr:colOff>274320</xdr:colOff>
      <xdr:row>40</xdr:row>
      <xdr:rowOff>76200</xdr:rowOff>
    </xdr:to>
    <xdr:pic>
      <xdr:nvPicPr>
        <xdr:cNvPr id="10" name="Picture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4800600"/>
          <a:ext cx="3322320" cy="263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594360</xdr:colOff>
      <xdr:row>26</xdr:row>
      <xdr:rowOff>22860</xdr:rowOff>
    </xdr:from>
    <xdr:to>
      <xdr:col>11</xdr:col>
      <xdr:colOff>530860</xdr:colOff>
      <xdr:row>40</xdr:row>
      <xdr:rowOff>152400</xdr:rowOff>
    </xdr:to>
    <xdr:pic>
      <xdr:nvPicPr>
        <xdr:cNvPr id="11" name="Picture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42360" y="4823460"/>
          <a:ext cx="3594100" cy="2689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17</xdr:col>
      <xdr:colOff>281940</xdr:colOff>
      <xdr:row>40</xdr:row>
      <xdr:rowOff>68580</xdr:rowOff>
    </xdr:to>
    <xdr:pic>
      <xdr:nvPicPr>
        <xdr:cNvPr id="12" name="Picture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15200" y="4800600"/>
          <a:ext cx="3329940" cy="2628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tabSelected="1" topLeftCell="A28" workbookViewId="0">
      <selection activeCell="A48" sqref="A48"/>
    </sheetView>
  </sheetViews>
  <sheetFormatPr defaultColWidth="8.88888888888889" defaultRowHeight="14.4"/>
  <cols>
    <col min="1" max="1" width="33.2222222222222" customWidth="1"/>
    <col min="2" max="2" width="14.7777777777778" style="18" customWidth="1"/>
    <col min="3" max="3" width="17" customWidth="1"/>
    <col min="4" max="4" width="8.66666666666667" customWidth="1"/>
    <col min="5" max="5" width="7.11111111111111" customWidth="1"/>
    <col min="6" max="6" width="6.66666666666667" customWidth="1"/>
    <col min="7" max="7" width="8.77777777777778" customWidth="1"/>
    <col min="8" max="8" width="7.66666666666667" customWidth="1"/>
    <col min="9" max="9" width="17.2222222222222" customWidth="1"/>
    <col min="10" max="10" width="12.8888888888889" customWidth="1"/>
    <col min="11" max="11" width="11.7777777777778" customWidth="1"/>
    <col min="12" max="12" width="11.6666666666667" customWidth="1"/>
    <col min="13" max="13" width="10.1111111111111" customWidth="1"/>
    <col min="14" max="14" width="11.6666666666667" customWidth="1"/>
    <col min="15" max="15" width="10.1111111111111" customWidth="1"/>
  </cols>
  <sheetData>
    <row r="1" spans="1:15">
      <c r="A1" s="13" t="s">
        <v>0</v>
      </c>
    </row>
    <row r="2" spans="1: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>
      <c r="A5" s="4" t="s">
        <v>18</v>
      </c>
      <c r="B5" s="4" t="s">
        <v>19</v>
      </c>
      <c r="C5" s="4" t="s">
        <v>20</v>
      </c>
      <c r="D5" s="4">
        <v>293</v>
      </c>
      <c r="E5" s="19">
        <v>42925</v>
      </c>
      <c r="F5" s="9">
        <v>0.0068</v>
      </c>
      <c r="G5" s="4" t="s">
        <v>21</v>
      </c>
      <c r="H5" s="4">
        <v>1.32</v>
      </c>
      <c r="I5" s="4">
        <v>386.12</v>
      </c>
      <c r="J5" s="4" t="s">
        <v>22</v>
      </c>
      <c r="K5" s="4" t="s">
        <v>22</v>
      </c>
      <c r="L5" s="4">
        <v>286</v>
      </c>
      <c r="M5" s="4">
        <v>0</v>
      </c>
      <c r="N5" s="4">
        <v>1.35</v>
      </c>
      <c r="O5" s="9">
        <v>0.1885</v>
      </c>
    </row>
    <row r="6" spans="1:15">
      <c r="A6" s="4" t="s">
        <v>23</v>
      </c>
      <c r="B6" s="4" t="s">
        <v>24</v>
      </c>
      <c r="C6" s="4" t="s">
        <v>25</v>
      </c>
      <c r="D6" s="4">
        <v>1224</v>
      </c>
      <c r="E6" s="19">
        <v>33464</v>
      </c>
      <c r="F6" s="9">
        <v>0.0366</v>
      </c>
      <c r="G6" s="4" t="s">
        <v>21</v>
      </c>
      <c r="H6" s="4">
        <v>2.81</v>
      </c>
      <c r="I6" s="4">
        <v>3440.57</v>
      </c>
      <c r="J6" s="4" t="s">
        <v>22</v>
      </c>
      <c r="K6" s="4" t="s">
        <v>22</v>
      </c>
      <c r="L6" s="4">
        <v>43</v>
      </c>
      <c r="M6" s="4">
        <v>0</v>
      </c>
      <c r="N6" s="4">
        <v>80.02</v>
      </c>
      <c r="O6" s="9">
        <v>0.0133</v>
      </c>
    </row>
    <row r="7" spans="1:15">
      <c r="A7" s="4" t="s">
        <v>26</v>
      </c>
      <c r="B7" s="4" t="s">
        <v>24</v>
      </c>
      <c r="C7" s="4" t="s">
        <v>27</v>
      </c>
      <c r="D7" s="4">
        <v>805</v>
      </c>
      <c r="E7" s="19">
        <v>9123</v>
      </c>
      <c r="F7" s="9">
        <v>0.0882</v>
      </c>
      <c r="G7" s="4" t="s">
        <v>21</v>
      </c>
      <c r="H7" s="4">
        <v>2.09</v>
      </c>
      <c r="I7" s="4">
        <v>1682.48</v>
      </c>
      <c r="J7" s="9">
        <v>0.2008</v>
      </c>
      <c r="K7" s="9">
        <v>0.6876</v>
      </c>
      <c r="L7" s="4">
        <v>12</v>
      </c>
      <c r="M7" s="4">
        <v>0</v>
      </c>
      <c r="N7" s="4">
        <v>140.206666666667</v>
      </c>
      <c r="O7" s="9">
        <v>0.0149</v>
      </c>
    </row>
    <row r="8" spans="1:15">
      <c r="A8" s="4" t="s">
        <v>28</v>
      </c>
      <c r="B8" s="4" t="s">
        <v>24</v>
      </c>
      <c r="C8" s="4" t="s">
        <v>25</v>
      </c>
      <c r="D8" s="19">
        <v>134</v>
      </c>
      <c r="E8" s="19">
        <v>6107</v>
      </c>
      <c r="F8" s="9">
        <v>0.0219</v>
      </c>
      <c r="G8" s="4" t="s">
        <v>21</v>
      </c>
      <c r="H8" s="4">
        <v>2.24</v>
      </c>
      <c r="I8" s="4">
        <v>300.21</v>
      </c>
      <c r="J8" s="4" t="s">
        <v>22</v>
      </c>
      <c r="K8" s="4" t="s">
        <v>22</v>
      </c>
      <c r="L8" s="19">
        <v>1</v>
      </c>
      <c r="M8" s="4">
        <v>0</v>
      </c>
      <c r="N8" s="4">
        <v>300.21</v>
      </c>
      <c r="O8" s="9">
        <v>0.002</v>
      </c>
    </row>
    <row r="9" spans="1:15">
      <c r="A9" s="4"/>
      <c r="B9" s="4"/>
      <c r="C9" s="4"/>
      <c r="D9" s="4"/>
      <c r="E9" s="19"/>
      <c r="F9" s="9"/>
      <c r="G9" s="4"/>
      <c r="H9" s="4"/>
      <c r="I9" s="4"/>
      <c r="J9" s="9"/>
      <c r="K9" s="9"/>
      <c r="L9" s="4"/>
      <c r="M9" s="4"/>
      <c r="N9" s="4"/>
      <c r="O9" s="9"/>
    </row>
    <row r="10" s="13" customFormat="1" spans="1:15">
      <c r="A10" s="13" t="s">
        <v>29</v>
      </c>
      <c r="B10" s="13"/>
      <c r="C10"/>
      <c r="D10" s="13">
        <f>SUM(D5:D9)</f>
        <v>2456</v>
      </c>
      <c r="E10" s="13">
        <f>SUM(E5:E9)</f>
        <v>91619</v>
      </c>
      <c r="F10" s="20">
        <f>D10/E10</f>
        <v>0.0268066667394318</v>
      </c>
      <c r="G10" t="s">
        <v>21</v>
      </c>
      <c r="H10" s="21">
        <f>I10/D10</f>
        <v>2.36538273615635</v>
      </c>
      <c r="I10" s="13">
        <f>SUM(I5:I9)</f>
        <v>5809.38</v>
      </c>
      <c r="J10" s="22">
        <v>0.2008</v>
      </c>
      <c r="K10" s="22">
        <v>0.6876</v>
      </c>
      <c r="L10" s="13">
        <f>SUM(L5:L9)</f>
        <v>342</v>
      </c>
      <c r="M10">
        <f>SUM(M5:M9)</f>
        <v>0</v>
      </c>
      <c r="N10" s="21">
        <f>I10/L10</f>
        <v>16.9864912280702</v>
      </c>
      <c r="O10" s="20">
        <v>0.0565</v>
      </c>
    </row>
    <row r="12" spans="1:15">
      <c r="A12" s="13" t="s">
        <v>30</v>
      </c>
      <c r="B12" s="13" t="s">
        <v>31</v>
      </c>
      <c r="C12" s="13" t="s">
        <v>32</v>
      </c>
      <c r="D12" s="23" t="s">
        <v>33</v>
      </c>
    </row>
    <row r="13" spans="1:15">
      <c r="A13" t="s">
        <v>11</v>
      </c>
      <c r="B13" s="18">
        <f>I10</f>
        <v>5809.38</v>
      </c>
      <c r="C13" s="18">
        <v>5515.31</v>
      </c>
      <c r="D13" s="24">
        <f>(B13-C13)/C13</f>
        <v>0.053318852430779</v>
      </c>
    </row>
    <row r="14" spans="1:15">
      <c r="A14" t="s">
        <v>34</v>
      </c>
      <c r="B14" s="18">
        <f>SUM(I5:I6)</f>
        <v>3826.69</v>
      </c>
      <c r="C14" s="18">
        <v>3537.2</v>
      </c>
      <c r="D14" s="24">
        <f>(B14-C14)/C14</f>
        <v>0.081841569603076</v>
      </c>
    </row>
    <row r="15" spans="1:15">
      <c r="A15" t="s">
        <v>35</v>
      </c>
      <c r="B15" s="18">
        <f>SUM(I7:I8)</f>
        <v>1982.69</v>
      </c>
      <c r="C15" s="18">
        <v>1978.12</v>
      </c>
      <c r="D15" s="24">
        <f>(B15-C15)/C15</f>
        <v>0.0023102744019575</v>
      </c>
    </row>
    <row r="16" spans="1:15">
      <c r="A16" t="s">
        <v>36</v>
      </c>
      <c r="B16" s="25">
        <f>E10</f>
        <v>91619</v>
      </c>
      <c r="C16" s="25">
        <v>139109</v>
      </c>
      <c r="D16" s="24">
        <f>(B16-C16)/C16</f>
        <v>-0.341386969930055</v>
      </c>
    </row>
    <row r="17" spans="1:4">
      <c r="A17" t="s">
        <v>37</v>
      </c>
      <c r="B17" s="25">
        <f>D10</f>
        <v>2456</v>
      </c>
      <c r="C17" s="25">
        <v>2388</v>
      </c>
      <c r="D17" s="24">
        <f t="shared" ref="D17:D22" si="0">(B17-C17)/C17</f>
        <v>0.0284757118927973</v>
      </c>
    </row>
    <row r="18" spans="1:4">
      <c r="A18" t="s">
        <v>38</v>
      </c>
      <c r="B18" s="18">
        <f>B13/B17</f>
        <v>2.36538273615635</v>
      </c>
      <c r="C18" s="18">
        <v>2.31</v>
      </c>
      <c r="D18" s="24">
        <f t="shared" si="0"/>
        <v>0.0239752104572951</v>
      </c>
    </row>
    <row r="19" spans="1:4">
      <c r="A19" t="s">
        <v>8</v>
      </c>
      <c r="B19" s="5">
        <f>B17/B16</f>
        <v>0.0268066667394318</v>
      </c>
      <c r="C19" s="5">
        <v>0.0172</v>
      </c>
      <c r="D19" s="24">
        <f t="shared" si="0"/>
        <v>0.558527136013475</v>
      </c>
    </row>
    <row r="20" spans="1:4">
      <c r="A20" t="s">
        <v>39</v>
      </c>
      <c r="B20" s="25">
        <f>SUM(L6:L8)</f>
        <v>56</v>
      </c>
      <c r="C20" s="26">
        <v>61.5</v>
      </c>
      <c r="D20" s="24">
        <f t="shared" si="0"/>
        <v>-0.0894308943089431</v>
      </c>
    </row>
    <row r="21" spans="1:4">
      <c r="A21" t="s">
        <v>40</v>
      </c>
      <c r="B21" s="18">
        <f>B13/B20</f>
        <v>103.738928571429</v>
      </c>
      <c r="C21" s="18">
        <v>89.679837398374</v>
      </c>
      <c r="D21" s="24">
        <f t="shared" si="0"/>
        <v>0.156769811151659</v>
      </c>
    </row>
    <row r="22" spans="1:4">
      <c r="A22" t="s">
        <v>41</v>
      </c>
      <c r="B22" s="25">
        <f>L5</f>
        <v>286</v>
      </c>
      <c r="C22" s="25">
        <v>935</v>
      </c>
      <c r="D22" s="24">
        <f t="shared" si="0"/>
        <v>-0.694117647058824</v>
      </c>
    </row>
    <row r="24" s="13" customFormat="1" spans="1:4">
      <c r="A24" s="13" t="s">
        <v>42</v>
      </c>
      <c r="B24" s="27"/>
    </row>
    <row r="25" s="15" customFormat="1" spans="1:4">
      <c r="A25" s="15" t="s">
        <v>43</v>
      </c>
      <c r="B25" s="28"/>
    </row>
    <row r="26" spans="1:4">
      <c r="A26" s="15" t="s">
        <v>44</v>
      </c>
    </row>
    <row r="27" spans="1:4">
      <c r="A27" t="s">
        <v>45</v>
      </c>
    </row>
    <row r="28" spans="1:4">
      <c r="A28" t="s">
        <v>46</v>
      </c>
    </row>
    <row r="29" spans="1:4">
      <c r="A29" s="15" t="s">
        <v>47</v>
      </c>
    </row>
    <row r="30" spans="1:4">
      <c r="A30" t="s">
        <v>48</v>
      </c>
    </row>
    <row r="32" s="16" customFormat="1" spans="1:4">
      <c r="A32" s="13" t="s">
        <v>49</v>
      </c>
      <c r="B32" s="29"/>
    </row>
    <row r="33" s="15" customFormat="1" spans="1:2">
      <c r="A33" s="15" t="s">
        <v>50</v>
      </c>
      <c r="B33" s="28"/>
    </row>
    <row r="34" s="15" customFormat="1" spans="1:2">
      <c r="A34" s="30" t="s">
        <v>51</v>
      </c>
      <c r="B34" s="28"/>
    </row>
    <row r="35" spans="1:2">
      <c r="A35" t="s">
        <v>52</v>
      </c>
    </row>
    <row r="36" spans="1:2">
      <c r="A36" t="s">
        <v>53</v>
      </c>
    </row>
    <row r="38" s="16" customFormat="1" spans="1:2">
      <c r="A38" s="13" t="s">
        <v>54</v>
      </c>
      <c r="B38" s="29"/>
    </row>
    <row r="39" spans="1:2">
      <c r="A39" s="31" t="s">
        <v>55</v>
      </c>
    </row>
    <row r="40" s="13" customFormat="1" spans="1:2">
      <c r="A40" t="s">
        <v>56</v>
      </c>
      <c r="B40" s="27"/>
    </row>
    <row r="42" s="16" customFormat="1" spans="1:2">
      <c r="A42" s="13" t="s">
        <v>57</v>
      </c>
      <c r="B42" s="29"/>
    </row>
    <row r="43" s="12" customFormat="1" spans="1:2">
      <c r="A43" s="15" t="s">
        <v>58</v>
      </c>
      <c r="B43" s="32"/>
    </row>
    <row r="44" s="17" customFormat="1" spans="1:2">
      <c r="A44" s="30" t="s">
        <v>59</v>
      </c>
      <c r="B44" s="33"/>
    </row>
    <row r="45" spans="1:2">
      <c r="A45" t="s">
        <v>60</v>
      </c>
    </row>
    <row r="46" spans="1:2">
      <c r="A46" t="s">
        <v>61</v>
      </c>
    </row>
    <row r="49" s="13" customFormat="1" spans="1:10">
      <c r="B49" s="27"/>
    </row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 spans="1:10">
      <c r="A56" s="34"/>
      <c r="B56" s="4"/>
      <c r="C56" s="4"/>
      <c r="D56" s="4"/>
      <c r="E56" s="4"/>
      <c r="F56" s="4"/>
      <c r="G56" s="4"/>
      <c r="H56" s="9"/>
    </row>
    <row r="57" spans="1:10">
      <c r="B57"/>
      <c r="H57" s="5"/>
      <c r="I57" s="35"/>
      <c r="J57" s="35"/>
    </row>
    <row r="59" spans="1:10">
      <c r="A59" s="13"/>
      <c r="B59" s="13"/>
      <c r="C59" s="13"/>
      <c r="D59" s="23"/>
    </row>
    <row r="60" spans="1:10">
      <c r="C60" s="18"/>
      <c r="D60" s="36"/>
    </row>
    <row r="61" spans="1:10">
      <c r="C61" s="18"/>
      <c r="D61" s="36"/>
    </row>
    <row r="62" spans="1:10">
      <c r="B62" s="25"/>
      <c r="C62" s="18"/>
      <c r="D62" s="36"/>
    </row>
    <row r="63" spans="1:10">
      <c r="B63" s="25"/>
      <c r="C63" s="18"/>
      <c r="D63" s="36"/>
    </row>
    <row r="64" spans="1:10">
      <c r="C64" s="18"/>
      <c r="D64" s="36"/>
    </row>
    <row r="65" spans="1:4">
      <c r="B65" s="5"/>
      <c r="C65" s="5"/>
      <c r="D65" s="36"/>
    </row>
    <row r="67" spans="1:4">
      <c r="A67" s="15"/>
    </row>
    <row r="70" spans="1:4">
      <c r="A70" s="15"/>
    </row>
    <row r="73" s="13" customFormat="1" spans="1:4">
      <c r="A73" s="13" t="s">
        <v>62</v>
      </c>
      <c r="B73" s="27"/>
    </row>
    <row r="74" spans="1:4">
      <c r="A74" t="s">
        <v>63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6:A82"/>
  <sheetViews>
    <sheetView topLeftCell="A58" workbookViewId="0">
      <selection activeCell="B46" sqref="$A46:$XFD46"/>
    </sheetView>
  </sheetViews>
  <sheetFormatPr defaultColWidth="8.88888888888889" defaultRowHeight="14.4"/>
  <sheetData>
    <row r="16" spans="1:1">
      <c r="A16" t="s">
        <v>64</v>
      </c>
    </row>
    <row r="18" ht="18" spans="1:1">
      <c r="A18" s="14" t="s">
        <v>65</v>
      </c>
    </row>
    <row r="19" spans="1:1">
      <c r="A19" s="15" t="s">
        <v>66</v>
      </c>
    </row>
    <row r="20" s="12" customFormat="1" spans="1:1">
      <c r="A20" s="15" t="s">
        <v>67</v>
      </c>
    </row>
    <row r="21" s="12" customFormat="1" spans="1:1">
      <c r="A21" s="15" t="s">
        <v>68</v>
      </c>
    </row>
    <row r="22" s="12" customFormat="1" spans="1:1">
      <c r="A22" s="15" t="s">
        <v>69</v>
      </c>
    </row>
    <row r="23" s="12" customFormat="1" spans="1:1">
      <c r="A23" s="15" t="s">
        <v>70</v>
      </c>
    </row>
    <row r="24" spans="1:1">
      <c r="A24" s="15" t="s">
        <v>71</v>
      </c>
    </row>
    <row r="26" s="13" customFormat="1" spans="1:1">
      <c r="A26" s="13" t="s">
        <v>72</v>
      </c>
    </row>
    <row r="43" s="13" customFormat="1" spans="1:1">
      <c r="A43" s="13" t="s">
        <v>73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8" s="13" customFormat="1" spans="1:1">
      <c r="A48" s="13" t="s">
        <v>77</v>
      </c>
    </row>
    <row r="49" spans="1:1">
      <c r="A49" t="s">
        <v>78</v>
      </c>
    </row>
    <row r="50" spans="1:1">
      <c r="A50" t="s">
        <v>79</v>
      </c>
    </row>
    <row r="51" spans="1:1">
      <c r="A51" t="s">
        <v>80</v>
      </c>
    </row>
    <row r="53" s="13" customFormat="1" spans="1:1">
      <c r="A53" s="13" t="s">
        <v>81</v>
      </c>
    </row>
    <row r="54" spans="1:1">
      <c r="A54" t="s">
        <v>82</v>
      </c>
    </row>
    <row r="55" spans="1:1">
      <c r="A55" t="s">
        <v>83</v>
      </c>
    </row>
    <row r="56" spans="1:1">
      <c r="A56" t="s">
        <v>84</v>
      </c>
    </row>
    <row r="58" s="13" customFormat="1" spans="1:1">
      <c r="A58" s="13" t="s">
        <v>85</v>
      </c>
    </row>
    <row r="77" ht="18" spans="1:1">
      <c r="A77" s="14" t="s">
        <v>86</v>
      </c>
    </row>
    <row r="78" spans="1:1">
      <c r="A78" s="15" t="s">
        <v>87</v>
      </c>
    </row>
    <row r="79" spans="1:1">
      <c r="A79" t="s">
        <v>88</v>
      </c>
    </row>
    <row r="80" spans="1:1">
      <c r="A80" t="s">
        <v>89</v>
      </c>
    </row>
    <row r="81" spans="1:1">
      <c r="A81" t="s">
        <v>90</v>
      </c>
    </row>
    <row r="82" spans="1:1">
      <c r="A82" t="s">
        <v>91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5"/>
  <sheetViews>
    <sheetView workbookViewId="0">
      <selection activeCell="A2" sqref="A2"/>
    </sheetView>
  </sheetViews>
  <sheetFormatPr defaultColWidth="8.88888888888889" defaultRowHeight="14.4"/>
  <cols>
    <col min="1" max="1" width="42.7777777777778" style="4" customWidth="1"/>
    <col min="2" max="2" width="26.4444444444444" style="4" customWidth="1"/>
    <col min="3" max="3" width="35.5555555555556" style="4" customWidth="1"/>
    <col min="4" max="4" width="34.1111111111111" style="4" customWidth="1"/>
    <col min="5" max="5" width="8.66666666666667" style="4" customWidth="1"/>
    <col min="6" max="6" width="8.77777777777778" style="4" customWidth="1"/>
    <col min="7" max="7" width="8.66666666666667" style="4" customWidth="1"/>
    <col min="8" max="8" width="10.1111111111111" style="4" customWidth="1"/>
    <col min="9" max="9" width="11.7777777777778" style="4" customWidth="1"/>
    <col min="10" max="10" width="11.6666666666667" style="4" customWidth="1"/>
    <col min="11" max="16384" width="8.88888888888889" style="4"/>
  </cols>
  <sheetData>
    <row r="1" s="4" customFormat="1" spans="1:10">
      <c r="A1" s="4" t="s">
        <v>92</v>
      </c>
      <c r="B1"/>
      <c r="C1"/>
      <c r="D1"/>
      <c r="E1"/>
      <c r="F1"/>
      <c r="G1"/>
      <c r="H1"/>
      <c r="I1"/>
      <c r="J1"/>
    </row>
    <row r="2" s="4" customFormat="1" spans="1:10">
      <c r="A2" s="4" t="s">
        <v>93</v>
      </c>
      <c r="B2"/>
      <c r="C2"/>
      <c r="D2"/>
      <c r="E2"/>
      <c r="F2"/>
      <c r="G2"/>
      <c r="H2"/>
      <c r="I2"/>
      <c r="J2"/>
    </row>
    <row r="3" s="4" customFormat="1" spans="1:10">
      <c r="A3" s="4" t="s">
        <v>94</v>
      </c>
      <c r="B3" s="4" t="s">
        <v>95</v>
      </c>
      <c r="C3" s="4" t="s">
        <v>3</v>
      </c>
      <c r="D3" s="4" t="s">
        <v>96</v>
      </c>
      <c r="E3" s="4" t="s">
        <v>8</v>
      </c>
      <c r="F3" s="4" t="s">
        <v>10</v>
      </c>
      <c r="G3" s="4" t="s">
        <v>11</v>
      </c>
      <c r="H3" s="4" t="s">
        <v>17</v>
      </c>
      <c r="I3" s="4" t="s">
        <v>14</v>
      </c>
      <c r="J3" s="4" t="s">
        <v>16</v>
      </c>
    </row>
    <row r="4" s="4" customFormat="1" spans="1:10">
      <c r="A4" s="4" t="s">
        <v>97</v>
      </c>
      <c r="B4" s="4"/>
      <c r="C4" s="4"/>
      <c r="D4" s="4"/>
      <c r="E4" s="8">
        <v>0.0268</v>
      </c>
      <c r="F4" s="3">
        <v>2.37</v>
      </c>
      <c r="G4" s="3">
        <v>5809.38</v>
      </c>
      <c r="H4" s="8">
        <v>0.0565</v>
      </c>
      <c r="I4" s="10">
        <v>342</v>
      </c>
      <c r="J4" s="3">
        <v>16.99</v>
      </c>
    </row>
    <row r="5" s="4" customFormat="1" spans="1:10">
      <c r="A5" s="4" t="s">
        <v>98</v>
      </c>
      <c r="B5" s="4"/>
      <c r="C5" s="4"/>
      <c r="D5" s="4"/>
      <c r="E5" s="8">
        <v>0.0343</v>
      </c>
      <c r="F5" s="3">
        <v>2.75</v>
      </c>
      <c r="G5" s="3">
        <v>3740.78</v>
      </c>
      <c r="H5" s="8">
        <v>0.0118</v>
      </c>
      <c r="I5" s="10">
        <v>44</v>
      </c>
      <c r="J5" s="3">
        <v>85.02</v>
      </c>
    </row>
    <row r="6" s="4" customFormat="1" spans="1:10">
      <c r="A6" s="4" t="s">
        <v>99</v>
      </c>
      <c r="B6" s="4"/>
      <c r="C6" s="4"/>
      <c r="D6" s="4"/>
      <c r="E6" s="8">
        <v>0.1273</v>
      </c>
      <c r="F6" s="3">
        <v>3.1</v>
      </c>
      <c r="G6" s="3">
        <v>2015.65</v>
      </c>
      <c r="H6" s="8">
        <v>0.0323</v>
      </c>
      <c r="I6" s="10">
        <v>21</v>
      </c>
      <c r="J6" s="3">
        <v>95.98</v>
      </c>
    </row>
    <row r="7" s="4" customFormat="1" spans="1:10">
      <c r="A7" s="4" t="s">
        <v>100</v>
      </c>
      <c r="B7" s="4"/>
      <c r="C7" s="4"/>
      <c r="D7" s="4"/>
      <c r="E7" s="8">
        <v>0.0882</v>
      </c>
      <c r="F7" s="3">
        <v>2.09</v>
      </c>
      <c r="G7" s="3">
        <v>1682.48</v>
      </c>
      <c r="H7" s="8">
        <v>0.0149</v>
      </c>
      <c r="I7" s="10">
        <v>12</v>
      </c>
      <c r="J7" s="3">
        <v>140.21</v>
      </c>
    </row>
    <row r="8" s="4" customFormat="1" spans="1:10">
      <c r="A8" s="4" t="s">
        <v>101</v>
      </c>
      <c r="B8" s="4"/>
      <c r="C8" s="4"/>
      <c r="D8" s="4"/>
      <c r="E8" s="8">
        <v>0.0068</v>
      </c>
      <c r="F8" s="3">
        <v>1.32</v>
      </c>
      <c r="G8" s="3">
        <v>386.12</v>
      </c>
      <c r="H8" s="8">
        <v>0.1885</v>
      </c>
      <c r="I8" s="10">
        <v>286</v>
      </c>
      <c r="J8" s="3">
        <v>1.35</v>
      </c>
    </row>
    <row r="9" s="4" customFormat="1" spans="1:10">
      <c r="A9" s="4" t="s">
        <v>102</v>
      </c>
      <c r="B9" s="4" t="s">
        <v>25</v>
      </c>
      <c r="C9" s="4" t="s">
        <v>23</v>
      </c>
      <c r="D9" t="s">
        <v>103</v>
      </c>
      <c r="E9" s="8">
        <v>0.2778</v>
      </c>
      <c r="F9" s="3">
        <v>1.17</v>
      </c>
      <c r="G9" s="3">
        <v>52.87</v>
      </c>
      <c r="H9" s="8">
        <v>0.0222</v>
      </c>
      <c r="I9" s="10">
        <v>1</v>
      </c>
      <c r="J9" s="3">
        <v>52.87</v>
      </c>
    </row>
    <row r="10" s="4" customFormat="1" spans="1:10">
      <c r="A10" s="4" t="s">
        <v>104</v>
      </c>
      <c r="B10" s="4" t="s">
        <v>25</v>
      </c>
      <c r="C10" s="4" t="s">
        <v>23</v>
      </c>
      <c r="D10" s="4" t="s">
        <v>103</v>
      </c>
      <c r="E10" s="8">
        <v>0.3015</v>
      </c>
      <c r="F10" s="3">
        <v>0.88</v>
      </c>
      <c r="G10" s="3">
        <v>52.84</v>
      </c>
      <c r="H10" s="8">
        <v>0</v>
      </c>
      <c r="I10" s="10">
        <v>0</v>
      </c>
      <c r="J10" s="3">
        <v>0</v>
      </c>
    </row>
    <row r="11" s="4" customFormat="1" spans="1:10">
      <c r="A11" s="4" t="s">
        <v>105</v>
      </c>
      <c r="B11" s="4" t="s">
        <v>25</v>
      </c>
      <c r="C11" s="4" t="s">
        <v>23</v>
      </c>
      <c r="D11" s="4" t="s">
        <v>103</v>
      </c>
      <c r="E11" s="8">
        <v>0.0292</v>
      </c>
      <c r="F11" s="3">
        <v>5.06</v>
      </c>
      <c r="G11" s="3">
        <v>50.63</v>
      </c>
      <c r="H11" s="8">
        <v>0.1</v>
      </c>
      <c r="I11" s="10">
        <v>1</v>
      </c>
      <c r="J11" s="3">
        <v>50.63</v>
      </c>
    </row>
    <row r="12" s="4" customFormat="1" spans="1:10">
      <c r="A12" s="4" t="s">
        <v>106</v>
      </c>
      <c r="B12" s="4" t="s">
        <v>25</v>
      </c>
      <c r="C12" s="4" t="s">
        <v>23</v>
      </c>
      <c r="D12" s="4" t="s">
        <v>103</v>
      </c>
      <c r="E12" s="8">
        <v>0.1111</v>
      </c>
      <c r="F12" s="3">
        <v>46.63</v>
      </c>
      <c r="G12" s="3">
        <v>46.63</v>
      </c>
      <c r="H12" s="8">
        <v>1</v>
      </c>
      <c r="I12" s="10">
        <v>1</v>
      </c>
      <c r="J12" s="3">
        <v>46.63</v>
      </c>
    </row>
    <row r="13" s="4" customFormat="1" spans="1:10">
      <c r="A13" s="4" t="s">
        <v>107</v>
      </c>
      <c r="B13" s="4" t="s">
        <v>25</v>
      </c>
      <c r="C13" s="4" t="s">
        <v>28</v>
      </c>
      <c r="D13" s="4" t="s">
        <v>103</v>
      </c>
      <c r="E13" s="8">
        <v>0.3333</v>
      </c>
      <c r="F13" s="3">
        <v>45.09</v>
      </c>
      <c r="G13" s="3">
        <v>45.09</v>
      </c>
      <c r="H13" s="8">
        <v>1</v>
      </c>
      <c r="I13" s="10">
        <v>1</v>
      </c>
      <c r="J13" s="3">
        <v>45.09</v>
      </c>
    </row>
    <row r="14" s="4" customFormat="1" spans="1:10">
      <c r="A14" s="4" t="s">
        <v>108</v>
      </c>
      <c r="B14" s="4" t="s">
        <v>109</v>
      </c>
      <c r="C14" s="4" t="s">
        <v>26</v>
      </c>
      <c r="D14" s="4" t="s">
        <v>110</v>
      </c>
      <c r="E14" s="8">
        <v>0.2308</v>
      </c>
      <c r="F14" s="3">
        <v>5.26</v>
      </c>
      <c r="G14" s="3">
        <v>31.54</v>
      </c>
      <c r="H14" s="8">
        <v>0.1667</v>
      </c>
      <c r="I14" s="10">
        <v>1</v>
      </c>
      <c r="J14" s="3">
        <v>31.54</v>
      </c>
    </row>
    <row r="15" s="4" customFormat="1" spans="1:10">
      <c r="A15" s="4" t="s">
        <v>111</v>
      </c>
      <c r="B15" s="4" t="s">
        <v>25</v>
      </c>
      <c r="C15" s="4" t="s">
        <v>23</v>
      </c>
      <c r="D15" s="4" t="s">
        <v>103</v>
      </c>
      <c r="E15" s="8">
        <v>0.0909</v>
      </c>
      <c r="F15" s="3">
        <v>4.15</v>
      </c>
      <c r="G15" s="3">
        <v>29.05</v>
      </c>
      <c r="H15" s="8">
        <v>0.1429</v>
      </c>
      <c r="I15" s="10">
        <v>1</v>
      </c>
      <c r="J15" s="3">
        <v>29.05</v>
      </c>
    </row>
    <row r="16" s="4" customFormat="1" spans="1:10">
      <c r="A16" s="4" t="s">
        <v>112</v>
      </c>
      <c r="B16" s="4" t="s">
        <v>25</v>
      </c>
      <c r="C16" s="4" t="s">
        <v>23</v>
      </c>
      <c r="D16" s="4" t="s">
        <v>103</v>
      </c>
      <c r="E16" s="8">
        <v>0.25</v>
      </c>
      <c r="F16" s="3">
        <v>13.63</v>
      </c>
      <c r="G16" s="3">
        <v>27.25</v>
      </c>
      <c r="H16" s="8">
        <v>0</v>
      </c>
      <c r="I16" s="10">
        <v>0</v>
      </c>
      <c r="J16" s="3">
        <v>0</v>
      </c>
    </row>
    <row r="17" s="4" customFormat="1" spans="1:10">
      <c r="A17" s="4" t="s">
        <v>113</v>
      </c>
      <c r="B17" s="4" t="s">
        <v>25</v>
      </c>
      <c r="C17" s="4" t="s">
        <v>28</v>
      </c>
      <c r="D17" s="4" t="s">
        <v>103</v>
      </c>
      <c r="E17" s="8">
        <v>0.5</v>
      </c>
      <c r="F17" s="3">
        <v>26.09</v>
      </c>
      <c r="G17" s="3">
        <v>26.09</v>
      </c>
      <c r="H17" s="8">
        <v>0</v>
      </c>
      <c r="I17" s="10">
        <v>0</v>
      </c>
      <c r="J17" s="3">
        <v>0</v>
      </c>
    </row>
    <row r="18" s="4" customFormat="1" spans="1:10">
      <c r="A18" s="4" t="s">
        <v>114</v>
      </c>
      <c r="B18" s="4" t="s">
        <v>25</v>
      </c>
      <c r="C18" s="4" t="s">
        <v>23</v>
      </c>
      <c r="D18" s="4" t="s">
        <v>103</v>
      </c>
      <c r="E18" s="8">
        <v>1</v>
      </c>
      <c r="F18" s="3">
        <v>25.1</v>
      </c>
      <c r="G18" s="3">
        <v>25.1</v>
      </c>
      <c r="H18" s="8">
        <v>0</v>
      </c>
      <c r="I18" s="10">
        <v>0</v>
      </c>
      <c r="J18" s="3">
        <v>0</v>
      </c>
    </row>
    <row r="19" s="4" customFormat="1" spans="1:10">
      <c r="A19" s="4" t="s">
        <v>115</v>
      </c>
      <c r="B19" s="4" t="s">
        <v>25</v>
      </c>
      <c r="C19" s="4" t="s">
        <v>23</v>
      </c>
      <c r="D19" s="4" t="s">
        <v>103</v>
      </c>
      <c r="E19" s="8">
        <v>0.0262</v>
      </c>
      <c r="F19" s="3">
        <v>5.01</v>
      </c>
      <c r="G19" s="3">
        <v>25.03</v>
      </c>
      <c r="H19" s="8">
        <v>0.2</v>
      </c>
      <c r="I19" s="10">
        <v>1</v>
      </c>
      <c r="J19" s="3">
        <v>25.03</v>
      </c>
    </row>
    <row r="20" s="4" customFormat="1" spans="1:10">
      <c r="A20" s="4" t="s">
        <v>116</v>
      </c>
      <c r="B20" s="4" t="s">
        <v>25</v>
      </c>
      <c r="C20" s="4" t="s">
        <v>23</v>
      </c>
      <c r="D20" s="4" t="s">
        <v>103</v>
      </c>
      <c r="E20" s="8">
        <v>0.1</v>
      </c>
      <c r="F20" s="3">
        <v>24.25</v>
      </c>
      <c r="G20" s="3">
        <v>24.25</v>
      </c>
      <c r="H20" s="8">
        <v>0</v>
      </c>
      <c r="I20" s="10">
        <v>0</v>
      </c>
      <c r="J20" s="3">
        <v>0</v>
      </c>
    </row>
    <row r="21" s="4" customFormat="1" spans="1:10">
      <c r="A21" s="4" t="s">
        <v>117</v>
      </c>
      <c r="B21" s="4" t="s">
        <v>118</v>
      </c>
      <c r="C21" s="4" t="s">
        <v>26</v>
      </c>
      <c r="D21" s="4" t="s">
        <v>119</v>
      </c>
      <c r="E21" s="8">
        <v>0.3</v>
      </c>
      <c r="F21" s="3">
        <v>7.98</v>
      </c>
      <c r="G21" s="3">
        <v>23.95</v>
      </c>
      <c r="H21" s="8">
        <v>0</v>
      </c>
      <c r="I21" s="10">
        <v>0</v>
      </c>
      <c r="J21" s="3">
        <v>0</v>
      </c>
    </row>
    <row r="22" s="4" customFormat="1" spans="1:10">
      <c r="A22" s="4" t="s">
        <v>120</v>
      </c>
      <c r="B22" s="4" t="s">
        <v>25</v>
      </c>
      <c r="C22" s="4" t="s">
        <v>23</v>
      </c>
      <c r="D22" s="4" t="s">
        <v>103</v>
      </c>
      <c r="E22" s="8">
        <v>1</v>
      </c>
      <c r="F22" s="3">
        <v>23.06</v>
      </c>
      <c r="G22" s="3">
        <v>23.06</v>
      </c>
      <c r="H22" s="8">
        <v>0</v>
      </c>
      <c r="I22" s="10">
        <v>0</v>
      </c>
      <c r="J22" s="3">
        <v>0</v>
      </c>
    </row>
    <row r="23" s="4" customFormat="1" spans="1:10">
      <c r="A23" s="4" t="s">
        <v>105</v>
      </c>
      <c r="B23" s="4" t="s">
        <v>109</v>
      </c>
      <c r="C23" s="4" t="s">
        <v>26</v>
      </c>
      <c r="D23" s="4" t="s">
        <v>119</v>
      </c>
      <c r="E23" s="8">
        <v>0.0348</v>
      </c>
      <c r="F23" s="3">
        <v>3.21</v>
      </c>
      <c r="G23" s="3">
        <v>22.49</v>
      </c>
      <c r="H23" s="8">
        <v>0</v>
      </c>
      <c r="I23" s="10">
        <v>0</v>
      </c>
      <c r="J23" s="3">
        <v>0</v>
      </c>
    </row>
    <row r="24" s="4" customFormat="1" spans="1:10">
      <c r="A24" s="4" t="s">
        <v>121</v>
      </c>
      <c r="B24" s="4" t="s">
        <v>25</v>
      </c>
      <c r="C24" s="4" t="s">
        <v>23</v>
      </c>
      <c r="D24" s="4" t="s">
        <v>103</v>
      </c>
      <c r="E24" s="8">
        <v>1</v>
      </c>
      <c r="F24" s="3">
        <v>10.84</v>
      </c>
      <c r="G24" s="3">
        <v>21.67</v>
      </c>
      <c r="H24" s="8">
        <v>0.5</v>
      </c>
      <c r="I24" s="10">
        <v>1</v>
      </c>
      <c r="J24" s="3">
        <v>21.67</v>
      </c>
    </row>
    <row r="25" s="4" customFormat="1" spans="1:10">
      <c r="A25" s="4" t="s">
        <v>122</v>
      </c>
      <c r="B25" s="4" t="s">
        <v>25</v>
      </c>
      <c r="C25" s="4" t="s">
        <v>23</v>
      </c>
      <c r="D25" s="4" t="s">
        <v>103</v>
      </c>
      <c r="E25" s="8">
        <v>0.3333</v>
      </c>
      <c r="F25" s="3">
        <v>20.21</v>
      </c>
      <c r="G25" s="3">
        <v>20.21</v>
      </c>
      <c r="H25" s="8">
        <v>0</v>
      </c>
      <c r="I25" s="10">
        <v>0</v>
      </c>
      <c r="J25" s="3">
        <v>0</v>
      </c>
    </row>
    <row r="26" s="4" customFormat="1" spans="1:10">
      <c r="A26" s="4" t="s">
        <v>104</v>
      </c>
      <c r="B26" s="4" t="s">
        <v>25</v>
      </c>
      <c r="C26" s="4" t="s">
        <v>28</v>
      </c>
      <c r="D26" s="4" t="s">
        <v>103</v>
      </c>
      <c r="E26" s="8">
        <v>0.2273</v>
      </c>
      <c r="F26" s="3">
        <v>4.04</v>
      </c>
      <c r="G26" s="3">
        <v>20.2</v>
      </c>
      <c r="H26" s="8">
        <v>0</v>
      </c>
      <c r="I26" s="10">
        <v>0</v>
      </c>
      <c r="J26" s="3">
        <v>0</v>
      </c>
    </row>
    <row r="27" s="4" customFormat="1" spans="1:10">
      <c r="A27" s="4" t="s">
        <v>123</v>
      </c>
      <c r="B27" s="4" t="s">
        <v>25</v>
      </c>
      <c r="C27" s="4" t="s">
        <v>23</v>
      </c>
      <c r="D27" s="4" t="s">
        <v>103</v>
      </c>
      <c r="E27" s="8">
        <v>0.0714</v>
      </c>
      <c r="F27" s="3">
        <v>6.28</v>
      </c>
      <c r="G27" s="3">
        <v>18.84</v>
      </c>
      <c r="H27" s="8">
        <v>0</v>
      </c>
      <c r="I27" s="10">
        <v>0</v>
      </c>
      <c r="J27" s="3">
        <v>0</v>
      </c>
    </row>
    <row r="28" s="4" customFormat="1" spans="1:10">
      <c r="A28" s="4" t="s">
        <v>124</v>
      </c>
      <c r="B28" s="4" t="s">
        <v>25</v>
      </c>
      <c r="C28" s="4" t="s">
        <v>23</v>
      </c>
      <c r="D28" s="4" t="s">
        <v>103</v>
      </c>
      <c r="E28" s="8">
        <v>0.0588</v>
      </c>
      <c r="F28" s="3">
        <v>18.7</v>
      </c>
      <c r="G28" s="3">
        <v>18.7</v>
      </c>
      <c r="H28" s="8">
        <v>0</v>
      </c>
      <c r="I28" s="10">
        <v>0</v>
      </c>
      <c r="J28" s="3">
        <v>0</v>
      </c>
    </row>
    <row r="29" s="4" customFormat="1" spans="1:10">
      <c r="A29" s="4" t="s">
        <v>125</v>
      </c>
      <c r="B29" s="4" t="s">
        <v>126</v>
      </c>
      <c r="C29" s="4" t="s">
        <v>26</v>
      </c>
      <c r="D29" s="4" t="s">
        <v>119</v>
      </c>
      <c r="E29" s="8">
        <v>0.125</v>
      </c>
      <c r="F29" s="3">
        <v>18.1</v>
      </c>
      <c r="G29" s="3">
        <v>18.1</v>
      </c>
      <c r="H29" s="8">
        <v>1</v>
      </c>
      <c r="I29" s="10">
        <v>1</v>
      </c>
      <c r="J29" s="3">
        <v>18.1</v>
      </c>
    </row>
    <row r="30" s="4" customFormat="1" spans="1:10">
      <c r="A30" s="4" t="s">
        <v>127</v>
      </c>
      <c r="B30" s="4" t="s">
        <v>25</v>
      </c>
      <c r="C30" s="4" t="s">
        <v>23</v>
      </c>
      <c r="D30" s="4" t="s">
        <v>103</v>
      </c>
      <c r="E30" s="8">
        <v>1</v>
      </c>
      <c r="F30" s="3">
        <v>18.01</v>
      </c>
      <c r="G30" s="3">
        <v>18.01</v>
      </c>
      <c r="H30" s="8">
        <v>0</v>
      </c>
      <c r="I30" s="10">
        <v>0</v>
      </c>
      <c r="J30" s="3">
        <v>0</v>
      </c>
    </row>
    <row r="31" s="4" customFormat="1" spans="1:10">
      <c r="A31" s="4" t="s">
        <v>128</v>
      </c>
      <c r="B31" s="4" t="s">
        <v>25</v>
      </c>
      <c r="C31" s="4" t="s">
        <v>23</v>
      </c>
      <c r="D31" s="4" t="s">
        <v>103</v>
      </c>
      <c r="E31" s="8">
        <v>0.0373</v>
      </c>
      <c r="F31" s="3">
        <v>2.99</v>
      </c>
      <c r="G31" s="3">
        <v>17.94</v>
      </c>
      <c r="H31" s="8">
        <v>0</v>
      </c>
      <c r="I31" s="10">
        <v>0</v>
      </c>
      <c r="J31" s="3">
        <v>0</v>
      </c>
    </row>
    <row r="32" s="4" customFormat="1" spans="1:10">
      <c r="A32" s="4" t="s">
        <v>129</v>
      </c>
      <c r="B32" s="4" t="s">
        <v>25</v>
      </c>
      <c r="C32" s="4" t="s">
        <v>23</v>
      </c>
      <c r="D32" s="4" t="s">
        <v>103</v>
      </c>
      <c r="E32" s="8">
        <v>0.5</v>
      </c>
      <c r="F32" s="3">
        <v>16.5</v>
      </c>
      <c r="G32" s="3">
        <v>16.5</v>
      </c>
      <c r="H32" s="8">
        <v>1</v>
      </c>
      <c r="I32" s="10">
        <v>1</v>
      </c>
      <c r="J32" s="3">
        <v>16.5</v>
      </c>
    </row>
    <row r="33" s="4" customFormat="1" spans="1:10">
      <c r="A33" s="4" t="s">
        <v>130</v>
      </c>
      <c r="B33" s="4" t="s">
        <v>25</v>
      </c>
      <c r="C33" s="4" t="s">
        <v>23</v>
      </c>
      <c r="D33" s="4" t="s">
        <v>103</v>
      </c>
      <c r="E33" s="8">
        <v>0.5</v>
      </c>
      <c r="F33" s="3">
        <v>16.42</v>
      </c>
      <c r="G33" s="3">
        <v>16.42</v>
      </c>
      <c r="H33" s="8">
        <v>0</v>
      </c>
      <c r="I33" s="10">
        <v>0</v>
      </c>
      <c r="J33" s="3">
        <v>0</v>
      </c>
    </row>
    <row r="34" s="4" customFormat="1" spans="1:10">
      <c r="A34" s="4" t="s">
        <v>131</v>
      </c>
      <c r="B34" s="4" t="s">
        <v>25</v>
      </c>
      <c r="C34" s="4" t="s">
        <v>23</v>
      </c>
      <c r="D34" s="4" t="s">
        <v>103</v>
      </c>
      <c r="E34" s="8">
        <v>0.5</v>
      </c>
      <c r="F34" s="3">
        <v>15.33</v>
      </c>
      <c r="G34" s="3">
        <v>15.33</v>
      </c>
      <c r="H34" s="8">
        <v>0</v>
      </c>
      <c r="I34" s="10">
        <v>0</v>
      </c>
      <c r="J34" s="3">
        <v>0</v>
      </c>
    </row>
    <row r="35" s="4" customFormat="1" spans="1:10">
      <c r="A35" s="4" t="s">
        <v>132</v>
      </c>
      <c r="B35" s="4" t="s">
        <v>25</v>
      </c>
      <c r="C35" s="4" t="s">
        <v>23</v>
      </c>
      <c r="D35" s="4" t="s">
        <v>103</v>
      </c>
      <c r="E35" s="8">
        <v>0.5</v>
      </c>
      <c r="F35" s="3">
        <v>14.78</v>
      </c>
      <c r="G35" s="3">
        <v>14.78</v>
      </c>
      <c r="H35" s="8">
        <v>0</v>
      </c>
      <c r="I35" s="10">
        <v>0</v>
      </c>
      <c r="J35" s="3">
        <v>0</v>
      </c>
    </row>
    <row r="36" s="4" customFormat="1" spans="1:10">
      <c r="A36" s="4" t="s">
        <v>133</v>
      </c>
      <c r="B36" s="4" t="s">
        <v>25</v>
      </c>
      <c r="C36" s="4" t="s">
        <v>23</v>
      </c>
      <c r="D36" s="4" t="s">
        <v>103</v>
      </c>
      <c r="E36" s="8">
        <v>0.0714</v>
      </c>
      <c r="F36" s="3">
        <v>14.6</v>
      </c>
      <c r="G36" s="3">
        <v>14.6</v>
      </c>
      <c r="H36" s="8">
        <v>0</v>
      </c>
      <c r="I36" s="10">
        <v>0</v>
      </c>
      <c r="J36" s="3">
        <v>0</v>
      </c>
    </row>
    <row r="37" s="4" customFormat="1" spans="1:10">
      <c r="A37" s="4" t="s">
        <v>134</v>
      </c>
      <c r="B37" s="4" t="s">
        <v>135</v>
      </c>
      <c r="C37" s="4" t="s">
        <v>26</v>
      </c>
      <c r="D37" s="4" t="s">
        <v>111</v>
      </c>
      <c r="E37" s="8">
        <v>0.1143</v>
      </c>
      <c r="F37" s="3">
        <v>3.64</v>
      </c>
      <c r="G37" s="3">
        <v>14.58</v>
      </c>
      <c r="H37" s="8">
        <v>0.25</v>
      </c>
      <c r="I37" s="10">
        <v>1</v>
      </c>
      <c r="J37" s="3">
        <v>14.58</v>
      </c>
    </row>
    <row r="38" s="4" customFormat="1" spans="1:10">
      <c r="A38" s="4" t="s">
        <v>136</v>
      </c>
      <c r="B38" s="4" t="s">
        <v>25</v>
      </c>
      <c r="C38" s="4" t="s">
        <v>28</v>
      </c>
      <c r="D38" s="4" t="s">
        <v>103</v>
      </c>
      <c r="E38" s="8">
        <v>0.5</v>
      </c>
      <c r="F38" s="3">
        <v>14.45</v>
      </c>
      <c r="G38" s="3">
        <v>14.45</v>
      </c>
      <c r="H38" s="8">
        <v>0</v>
      </c>
      <c r="I38" s="10">
        <v>0</v>
      </c>
      <c r="J38" s="3">
        <v>0</v>
      </c>
    </row>
    <row r="39" s="4" customFormat="1" spans="1:10">
      <c r="A39" s="4" t="s">
        <v>108</v>
      </c>
      <c r="B39" s="4" t="s">
        <v>109</v>
      </c>
      <c r="C39" s="4" t="s">
        <v>26</v>
      </c>
      <c r="D39" s="4" t="s">
        <v>110</v>
      </c>
      <c r="E39" s="8">
        <v>0.2857</v>
      </c>
      <c r="F39" s="3">
        <v>7</v>
      </c>
      <c r="G39" s="3">
        <v>14.01</v>
      </c>
      <c r="H39" s="8">
        <v>0</v>
      </c>
      <c r="I39" s="10">
        <v>0</v>
      </c>
      <c r="J39" s="3">
        <v>0</v>
      </c>
    </row>
    <row r="40" s="4" customFormat="1" spans="1:10">
      <c r="A40" s="4" t="s">
        <v>137</v>
      </c>
      <c r="B40" s="4" t="s">
        <v>25</v>
      </c>
      <c r="C40" s="4" t="s">
        <v>23</v>
      </c>
      <c r="D40" s="4" t="s">
        <v>103</v>
      </c>
      <c r="E40" s="8">
        <v>0.1667</v>
      </c>
      <c r="F40" s="3">
        <v>13.06</v>
      </c>
      <c r="G40" s="3">
        <v>13.06</v>
      </c>
      <c r="H40" s="8">
        <v>0</v>
      </c>
      <c r="I40" s="10">
        <v>0</v>
      </c>
      <c r="J40" s="3">
        <v>0</v>
      </c>
    </row>
    <row r="41" s="4" customFormat="1" spans="1:10">
      <c r="A41" s="4" t="s">
        <v>138</v>
      </c>
      <c r="B41" s="4" t="s">
        <v>25</v>
      </c>
      <c r="C41" s="4" t="s">
        <v>23</v>
      </c>
      <c r="D41" s="4" t="s">
        <v>103</v>
      </c>
      <c r="E41" s="8">
        <v>0.0714</v>
      </c>
      <c r="F41" s="3">
        <v>12.87</v>
      </c>
      <c r="G41" s="3">
        <v>12.87</v>
      </c>
      <c r="H41" s="8">
        <v>0</v>
      </c>
      <c r="I41" s="10">
        <v>0</v>
      </c>
      <c r="J41" s="3">
        <v>0</v>
      </c>
    </row>
    <row r="42" s="4" customFormat="1" spans="1:10">
      <c r="A42" s="4" t="s">
        <v>139</v>
      </c>
      <c r="B42" s="4" t="s">
        <v>25</v>
      </c>
      <c r="C42" s="4" t="s">
        <v>23</v>
      </c>
      <c r="D42" s="4" t="s">
        <v>103</v>
      </c>
      <c r="E42" s="8">
        <v>0.5</v>
      </c>
      <c r="F42" s="3">
        <v>12.55</v>
      </c>
      <c r="G42" s="3">
        <v>12.55</v>
      </c>
      <c r="H42" s="8">
        <v>0</v>
      </c>
      <c r="I42" s="10">
        <v>0</v>
      </c>
      <c r="J42" s="3">
        <v>0</v>
      </c>
    </row>
    <row r="43" s="4" customFormat="1" spans="1:10">
      <c r="A43" s="4" t="s">
        <v>140</v>
      </c>
      <c r="B43" s="4" t="s">
        <v>118</v>
      </c>
      <c r="C43" s="4" t="s">
        <v>26</v>
      </c>
      <c r="D43" s="4" t="s">
        <v>119</v>
      </c>
      <c r="E43" s="8">
        <v>0.0962</v>
      </c>
      <c r="F43" s="3">
        <v>2.49</v>
      </c>
      <c r="G43" s="3">
        <v>12.47</v>
      </c>
      <c r="H43" s="8">
        <v>0</v>
      </c>
      <c r="I43" s="10">
        <v>0</v>
      </c>
      <c r="J43" s="3">
        <v>0</v>
      </c>
    </row>
    <row r="44" s="4" customFormat="1" spans="1:10">
      <c r="A44" s="4" t="s">
        <v>141</v>
      </c>
      <c r="B44" s="4" t="s">
        <v>25</v>
      </c>
      <c r="C44" s="4" t="s">
        <v>23</v>
      </c>
      <c r="D44" s="4" t="s">
        <v>103</v>
      </c>
      <c r="E44" s="8">
        <v>0.2</v>
      </c>
      <c r="F44" s="3">
        <v>6.17</v>
      </c>
      <c r="G44" s="3">
        <v>12.35</v>
      </c>
      <c r="H44" s="8">
        <v>0</v>
      </c>
      <c r="I44" s="10">
        <v>0</v>
      </c>
      <c r="J44" s="3">
        <v>0</v>
      </c>
    </row>
    <row r="45" s="4" customFormat="1" spans="1:10">
      <c r="A45" s="4" t="s">
        <v>142</v>
      </c>
      <c r="B45" s="4" t="s">
        <v>25</v>
      </c>
      <c r="C45" s="4" t="s">
        <v>23</v>
      </c>
      <c r="D45" s="4" t="s">
        <v>103</v>
      </c>
      <c r="E45" s="8">
        <v>2</v>
      </c>
      <c r="F45" s="3">
        <v>6.14</v>
      </c>
      <c r="G45" s="3">
        <v>12.29</v>
      </c>
      <c r="H45" s="8">
        <v>0</v>
      </c>
      <c r="I45" s="10">
        <v>0</v>
      </c>
      <c r="J45" s="3">
        <v>0</v>
      </c>
    </row>
    <row r="46" s="4" customFormat="1" spans="1:10">
      <c r="A46" s="4" t="s">
        <v>143</v>
      </c>
      <c r="B46" s="4" t="s">
        <v>118</v>
      </c>
      <c r="C46" s="4" t="s">
        <v>26</v>
      </c>
      <c r="D46" s="4" t="s">
        <v>110</v>
      </c>
      <c r="E46" s="8">
        <v>1</v>
      </c>
      <c r="F46" s="3">
        <v>12.03</v>
      </c>
      <c r="G46" s="3">
        <v>12.03</v>
      </c>
      <c r="H46" s="8">
        <v>0</v>
      </c>
      <c r="I46" s="10">
        <v>0</v>
      </c>
      <c r="J46" s="3">
        <v>0</v>
      </c>
    </row>
    <row r="47" s="4" customFormat="1" spans="1:10">
      <c r="A47" s="4" t="s">
        <v>125</v>
      </c>
      <c r="B47" s="4" t="s">
        <v>25</v>
      </c>
      <c r="C47" s="4" t="s">
        <v>23</v>
      </c>
      <c r="D47" s="4" t="s">
        <v>103</v>
      </c>
      <c r="E47" s="8">
        <v>0.087</v>
      </c>
      <c r="F47" s="3">
        <v>5.96</v>
      </c>
      <c r="G47" s="3">
        <v>11.92</v>
      </c>
      <c r="H47" s="8">
        <v>0</v>
      </c>
      <c r="I47" s="10">
        <v>0</v>
      </c>
      <c r="J47" s="3">
        <v>0</v>
      </c>
    </row>
    <row r="48" s="4" customFormat="1" spans="1:10">
      <c r="A48" s="4" t="s">
        <v>144</v>
      </c>
      <c r="B48" s="4" t="s">
        <v>25</v>
      </c>
      <c r="C48" s="4" t="s">
        <v>23</v>
      </c>
      <c r="D48" s="4" t="s">
        <v>103</v>
      </c>
      <c r="E48" s="8">
        <v>0.0175</v>
      </c>
      <c r="F48" s="3">
        <v>11.29</v>
      </c>
      <c r="G48" s="3">
        <v>11.29</v>
      </c>
      <c r="H48" s="8">
        <v>0</v>
      </c>
      <c r="I48" s="10">
        <v>0</v>
      </c>
      <c r="J48" s="3">
        <v>0</v>
      </c>
    </row>
    <row r="49" s="4" customFormat="1" spans="1:10">
      <c r="A49" s="4" t="s">
        <v>145</v>
      </c>
      <c r="B49" s="4" t="s">
        <v>25</v>
      </c>
      <c r="C49" s="4" t="s">
        <v>23</v>
      </c>
      <c r="D49" s="4" t="s">
        <v>103</v>
      </c>
      <c r="E49" s="8">
        <v>0.5</v>
      </c>
      <c r="F49" s="3">
        <v>10.84</v>
      </c>
      <c r="G49" s="3">
        <v>10.84</v>
      </c>
      <c r="H49" s="8">
        <v>0</v>
      </c>
      <c r="I49" s="10">
        <v>0</v>
      </c>
      <c r="J49" s="3">
        <v>0</v>
      </c>
    </row>
    <row r="50" s="4" customFormat="1" spans="1:10">
      <c r="A50" s="4" t="s">
        <v>146</v>
      </c>
      <c r="B50" s="4" t="s">
        <v>25</v>
      </c>
      <c r="C50" s="4" t="s">
        <v>23</v>
      </c>
      <c r="D50" s="4" t="s">
        <v>103</v>
      </c>
      <c r="E50" s="8">
        <v>0.1</v>
      </c>
      <c r="F50" s="3">
        <v>10.5</v>
      </c>
      <c r="G50" s="3">
        <v>10.5</v>
      </c>
      <c r="H50" s="8">
        <v>0</v>
      </c>
      <c r="I50" s="10">
        <v>0</v>
      </c>
      <c r="J50" s="3">
        <v>0</v>
      </c>
    </row>
    <row r="51" s="4" customFormat="1" spans="1:10">
      <c r="A51" s="4" t="s">
        <v>147</v>
      </c>
      <c r="B51" s="4" t="s">
        <v>25</v>
      </c>
      <c r="C51" s="4" t="s">
        <v>23</v>
      </c>
      <c r="D51" s="4" t="s">
        <v>103</v>
      </c>
      <c r="E51" s="8">
        <v>0.2857</v>
      </c>
      <c r="F51" s="3">
        <v>5.24</v>
      </c>
      <c r="G51" s="3">
        <v>10.47</v>
      </c>
      <c r="H51" s="8">
        <v>0</v>
      </c>
      <c r="I51" s="10">
        <v>0</v>
      </c>
      <c r="J51" s="3">
        <v>0</v>
      </c>
    </row>
    <row r="52" s="4" customFormat="1" spans="1:10">
      <c r="A52" s="4" t="s">
        <v>148</v>
      </c>
      <c r="B52" s="4" t="s">
        <v>25</v>
      </c>
      <c r="C52" s="4" t="s">
        <v>23</v>
      </c>
      <c r="D52" s="4" t="s">
        <v>103</v>
      </c>
      <c r="E52" s="8">
        <v>0.2647</v>
      </c>
      <c r="F52" s="3">
        <v>1.16</v>
      </c>
      <c r="G52" s="3">
        <v>10.4</v>
      </c>
      <c r="H52" s="8">
        <v>0</v>
      </c>
      <c r="I52" s="10">
        <v>0</v>
      </c>
      <c r="J52" s="3">
        <v>0</v>
      </c>
    </row>
    <row r="53" s="4" customFormat="1" spans="1:10">
      <c r="A53" s="4" t="s">
        <v>149</v>
      </c>
      <c r="B53" s="4" t="s">
        <v>25</v>
      </c>
      <c r="C53" s="4" t="s">
        <v>23</v>
      </c>
      <c r="D53" s="4" t="s">
        <v>103</v>
      </c>
      <c r="E53" s="8">
        <v>0.3333</v>
      </c>
      <c r="F53" s="3">
        <v>10.35</v>
      </c>
      <c r="G53" s="3">
        <v>10.35</v>
      </c>
      <c r="H53" s="8">
        <v>0</v>
      </c>
      <c r="I53" s="10">
        <v>0</v>
      </c>
      <c r="J53" s="3">
        <v>0</v>
      </c>
    </row>
    <row r="54" s="4" customFormat="1" spans="1:10">
      <c r="A54" s="4" t="s">
        <v>150</v>
      </c>
      <c r="B54" s="4" t="s">
        <v>25</v>
      </c>
      <c r="C54" s="4" t="s">
        <v>23</v>
      </c>
      <c r="D54" s="4" t="s">
        <v>103</v>
      </c>
      <c r="E54" s="8">
        <v>1</v>
      </c>
      <c r="F54" s="3">
        <v>10.27</v>
      </c>
      <c r="G54" s="3">
        <v>10.27</v>
      </c>
      <c r="H54" s="8">
        <v>0</v>
      </c>
      <c r="I54" s="10">
        <v>0</v>
      </c>
      <c r="J54" s="3">
        <v>0</v>
      </c>
    </row>
    <row r="55" s="4" customFormat="1" spans="1:10">
      <c r="A55" s="4" t="s">
        <v>151</v>
      </c>
      <c r="B55" s="4" t="s">
        <v>25</v>
      </c>
      <c r="C55" s="4" t="s">
        <v>23</v>
      </c>
      <c r="D55" s="4" t="s">
        <v>103</v>
      </c>
      <c r="E55" s="8">
        <v>0.0256</v>
      </c>
      <c r="F55" s="3">
        <v>1.67</v>
      </c>
      <c r="G55" s="3">
        <v>10.04</v>
      </c>
      <c r="H55" s="8">
        <v>0</v>
      </c>
      <c r="I55" s="10">
        <v>0</v>
      </c>
      <c r="J55" s="3">
        <v>0</v>
      </c>
    </row>
    <row r="56" s="4" customFormat="1" spans="1:10">
      <c r="A56" s="4" t="s">
        <v>152</v>
      </c>
      <c r="B56" s="4" t="s">
        <v>126</v>
      </c>
      <c r="C56" s="4" t="s">
        <v>26</v>
      </c>
      <c r="D56" s="4" t="s">
        <v>119</v>
      </c>
      <c r="E56" s="8">
        <v>0.5</v>
      </c>
      <c r="F56" s="3">
        <v>4.99</v>
      </c>
      <c r="G56" s="3">
        <v>9.98</v>
      </c>
      <c r="H56" s="8">
        <v>0</v>
      </c>
      <c r="I56" s="10">
        <v>0</v>
      </c>
      <c r="J56" s="3">
        <v>0</v>
      </c>
    </row>
    <row r="57" s="4" customFormat="1" spans="1:10">
      <c r="A57" s="4" t="s">
        <v>153</v>
      </c>
      <c r="B57" s="4" t="s">
        <v>25</v>
      </c>
      <c r="C57" s="4" t="s">
        <v>23</v>
      </c>
      <c r="D57" s="4" t="s">
        <v>103</v>
      </c>
      <c r="E57" s="8">
        <v>0.3333</v>
      </c>
      <c r="F57" s="3">
        <v>9.92</v>
      </c>
      <c r="G57" s="3">
        <v>9.92</v>
      </c>
      <c r="H57" s="8">
        <v>0</v>
      </c>
      <c r="I57" s="10">
        <v>0</v>
      </c>
      <c r="J57" s="3">
        <v>0</v>
      </c>
    </row>
    <row r="58" s="4" customFormat="1" spans="1:10">
      <c r="A58" s="4" t="s">
        <v>154</v>
      </c>
      <c r="B58" s="4" t="s">
        <v>25</v>
      </c>
      <c r="C58" s="4" t="s">
        <v>23</v>
      </c>
      <c r="D58" s="4" t="s">
        <v>103</v>
      </c>
      <c r="E58" s="8">
        <v>0.5</v>
      </c>
      <c r="F58" s="3">
        <v>9.86</v>
      </c>
      <c r="G58" s="3">
        <v>9.86</v>
      </c>
      <c r="H58" s="8">
        <v>0</v>
      </c>
      <c r="I58" s="10">
        <v>0</v>
      </c>
      <c r="J58" s="3">
        <v>0</v>
      </c>
    </row>
    <row r="59" s="4" customFormat="1" spans="1:10">
      <c r="A59" s="4" t="s">
        <v>155</v>
      </c>
      <c r="B59" s="4" t="s">
        <v>118</v>
      </c>
      <c r="C59" s="4" t="s">
        <v>26</v>
      </c>
      <c r="D59" s="4" t="s">
        <v>119</v>
      </c>
      <c r="E59" s="8">
        <v>0.1429</v>
      </c>
      <c r="F59" s="3">
        <v>9.79</v>
      </c>
      <c r="G59" s="3">
        <v>9.79</v>
      </c>
      <c r="H59" s="8">
        <v>0</v>
      </c>
      <c r="I59" s="10">
        <v>0</v>
      </c>
      <c r="J59" s="3">
        <v>0</v>
      </c>
    </row>
    <row r="60" s="4" customFormat="1" spans="1:10">
      <c r="A60" s="4" t="s">
        <v>156</v>
      </c>
      <c r="B60" s="4" t="s">
        <v>25</v>
      </c>
      <c r="C60" s="4" t="s">
        <v>23</v>
      </c>
      <c r="D60" s="4" t="s">
        <v>103</v>
      </c>
      <c r="E60" s="8">
        <v>0.25</v>
      </c>
      <c r="F60" s="3">
        <v>9.65</v>
      </c>
      <c r="G60" s="3">
        <v>9.65</v>
      </c>
      <c r="H60" s="8">
        <v>0</v>
      </c>
      <c r="I60" s="10">
        <v>0</v>
      </c>
      <c r="J60" s="3">
        <v>0</v>
      </c>
    </row>
    <row r="61" s="4" customFormat="1" spans="1:10">
      <c r="A61" s="4" t="s">
        <v>104</v>
      </c>
      <c r="B61" s="4" t="s">
        <v>118</v>
      </c>
      <c r="C61" s="4" t="s">
        <v>26</v>
      </c>
      <c r="D61" s="4" t="s">
        <v>110</v>
      </c>
      <c r="E61" s="8">
        <v>0.2083</v>
      </c>
      <c r="F61" s="3">
        <v>1.93</v>
      </c>
      <c r="G61" s="3">
        <v>9.64</v>
      </c>
      <c r="H61" s="8">
        <v>0</v>
      </c>
      <c r="I61" s="10">
        <v>0</v>
      </c>
      <c r="J61" s="3">
        <v>0</v>
      </c>
    </row>
    <row r="62" s="4" customFormat="1" spans="1:10">
      <c r="A62" s="4" t="s">
        <v>157</v>
      </c>
      <c r="B62" s="4" t="s">
        <v>25</v>
      </c>
      <c r="C62" s="4" t="s">
        <v>23</v>
      </c>
      <c r="D62" s="4" t="s">
        <v>103</v>
      </c>
      <c r="E62" s="8">
        <v>0.5</v>
      </c>
      <c r="F62" s="3">
        <v>9.63</v>
      </c>
      <c r="G62" s="3">
        <v>9.63</v>
      </c>
      <c r="H62" s="8">
        <v>0</v>
      </c>
      <c r="I62" s="10">
        <v>0</v>
      </c>
      <c r="J62" s="3">
        <v>0</v>
      </c>
    </row>
    <row r="63" s="4" customFormat="1" spans="1:10">
      <c r="A63" s="4" t="s">
        <v>102</v>
      </c>
      <c r="B63" s="4" t="s">
        <v>118</v>
      </c>
      <c r="C63" s="4" t="s">
        <v>26</v>
      </c>
      <c r="D63" s="4" t="s">
        <v>110</v>
      </c>
      <c r="E63" s="8">
        <v>0.125</v>
      </c>
      <c r="F63" s="3">
        <v>4.76</v>
      </c>
      <c r="G63" s="3">
        <v>9.51</v>
      </c>
      <c r="H63" s="8">
        <v>0</v>
      </c>
      <c r="I63" s="10">
        <v>0</v>
      </c>
      <c r="J63" s="3">
        <v>0</v>
      </c>
    </row>
    <row r="64" s="4" customFormat="1" spans="1:10">
      <c r="A64" s="4" t="s">
        <v>158</v>
      </c>
      <c r="B64" s="4" t="s">
        <v>126</v>
      </c>
      <c r="C64" s="4" t="s">
        <v>26</v>
      </c>
      <c r="D64" s="4" t="s">
        <v>119</v>
      </c>
      <c r="E64" s="8">
        <v>0.3333</v>
      </c>
      <c r="F64" s="3">
        <v>9.38</v>
      </c>
      <c r="G64" s="3">
        <v>9.38</v>
      </c>
      <c r="H64" s="8">
        <v>0</v>
      </c>
      <c r="I64" s="10">
        <v>0</v>
      </c>
      <c r="J64" s="3">
        <v>0</v>
      </c>
    </row>
    <row r="65" s="4" customFormat="1" spans="1:10">
      <c r="A65" s="4" t="s">
        <v>159</v>
      </c>
      <c r="B65" s="4" t="s">
        <v>118</v>
      </c>
      <c r="C65" s="4" t="s">
        <v>26</v>
      </c>
      <c r="D65" s="4" t="s">
        <v>119</v>
      </c>
      <c r="E65" s="8">
        <v>0.2</v>
      </c>
      <c r="F65" s="3">
        <v>4.57</v>
      </c>
      <c r="G65" s="3">
        <v>9.14</v>
      </c>
      <c r="H65" s="8">
        <v>0</v>
      </c>
      <c r="I65" s="10">
        <v>0</v>
      </c>
      <c r="J65" s="3">
        <v>0</v>
      </c>
    </row>
    <row r="66" s="4" customFormat="1" spans="1:10">
      <c r="A66" s="4" t="s">
        <v>102</v>
      </c>
      <c r="B66" s="4" t="s">
        <v>118</v>
      </c>
      <c r="C66" s="4" t="s">
        <v>26</v>
      </c>
      <c r="D66" s="4" t="s">
        <v>110</v>
      </c>
      <c r="E66" s="8">
        <v>0.1923</v>
      </c>
      <c r="F66" s="3">
        <v>1.81</v>
      </c>
      <c r="G66" s="3">
        <v>9.07</v>
      </c>
      <c r="H66" s="8">
        <v>0</v>
      </c>
      <c r="I66" s="10">
        <v>0</v>
      </c>
      <c r="J66" s="3">
        <v>0</v>
      </c>
    </row>
    <row r="67" s="4" customFormat="1" spans="1:10">
      <c r="A67" s="4" t="s">
        <v>160</v>
      </c>
      <c r="B67" s="4" t="s">
        <v>118</v>
      </c>
      <c r="C67" s="4" t="s">
        <v>26</v>
      </c>
      <c r="D67" s="4" t="s">
        <v>110</v>
      </c>
      <c r="E67" s="8">
        <v>0.5</v>
      </c>
      <c r="F67" s="3">
        <v>8.85</v>
      </c>
      <c r="G67" s="3">
        <v>8.85</v>
      </c>
      <c r="H67" s="8">
        <v>0</v>
      </c>
      <c r="I67" s="10">
        <v>0</v>
      </c>
      <c r="J67" s="3">
        <v>0</v>
      </c>
    </row>
    <row r="68" s="4" customFormat="1" spans="1:10">
      <c r="A68" s="4" t="s">
        <v>161</v>
      </c>
      <c r="B68" s="4" t="s">
        <v>25</v>
      </c>
      <c r="C68" s="4" t="s">
        <v>23</v>
      </c>
      <c r="D68" s="4" t="s">
        <v>103</v>
      </c>
      <c r="E68" s="8">
        <v>1</v>
      </c>
      <c r="F68" s="3">
        <v>8.68</v>
      </c>
      <c r="G68" s="3">
        <v>8.68</v>
      </c>
      <c r="H68" s="8">
        <v>0</v>
      </c>
      <c r="I68" s="10">
        <v>0</v>
      </c>
      <c r="J68" s="3">
        <v>0</v>
      </c>
    </row>
    <row r="69" s="4" customFormat="1" spans="1:10">
      <c r="A69" s="4" t="s">
        <v>162</v>
      </c>
      <c r="B69" s="4" t="s">
        <v>118</v>
      </c>
      <c r="C69" s="4" t="s">
        <v>26</v>
      </c>
      <c r="D69" s="4" t="s">
        <v>119</v>
      </c>
      <c r="E69" s="8">
        <v>0.0476</v>
      </c>
      <c r="F69" s="3">
        <v>8.67</v>
      </c>
      <c r="G69" s="3">
        <v>8.67</v>
      </c>
      <c r="H69" s="8">
        <v>0</v>
      </c>
      <c r="I69" s="10">
        <v>0</v>
      </c>
      <c r="J69" s="3">
        <v>0</v>
      </c>
    </row>
    <row r="70" s="4" customFormat="1" spans="1:10">
      <c r="A70" s="4" t="s">
        <v>163</v>
      </c>
      <c r="B70" s="4" t="s">
        <v>25</v>
      </c>
      <c r="C70" s="4" t="s">
        <v>23</v>
      </c>
      <c r="D70" s="4" t="s">
        <v>103</v>
      </c>
      <c r="E70" s="8">
        <v>0.5</v>
      </c>
      <c r="F70" s="3">
        <v>8.67</v>
      </c>
      <c r="G70" s="3">
        <v>8.67</v>
      </c>
      <c r="H70" s="8">
        <v>0</v>
      </c>
      <c r="I70" s="10">
        <v>0</v>
      </c>
      <c r="J70" s="3">
        <v>0</v>
      </c>
    </row>
    <row r="71" s="4" customFormat="1" spans="1:10">
      <c r="A71" s="4" t="s">
        <v>164</v>
      </c>
      <c r="B71" s="4" t="s">
        <v>25</v>
      </c>
      <c r="C71" s="4" t="s">
        <v>23</v>
      </c>
      <c r="D71" s="4" t="s">
        <v>103</v>
      </c>
      <c r="E71" s="8">
        <v>0.5</v>
      </c>
      <c r="F71" s="3">
        <v>8.59</v>
      </c>
      <c r="G71" s="3">
        <v>8.59</v>
      </c>
      <c r="H71" s="8">
        <v>0</v>
      </c>
      <c r="I71" s="10">
        <v>0</v>
      </c>
      <c r="J71" s="3">
        <v>0</v>
      </c>
    </row>
    <row r="72" s="4" customFormat="1" spans="1:10">
      <c r="A72" s="4" t="s">
        <v>165</v>
      </c>
      <c r="B72" s="4" t="s">
        <v>25</v>
      </c>
      <c r="C72" s="4" t="s">
        <v>23</v>
      </c>
      <c r="D72" s="4" t="s">
        <v>103</v>
      </c>
      <c r="E72" s="8">
        <v>0.1</v>
      </c>
      <c r="F72" s="3">
        <v>8.59</v>
      </c>
      <c r="G72" s="3">
        <v>8.59</v>
      </c>
      <c r="H72" s="8">
        <v>0</v>
      </c>
      <c r="I72" s="10">
        <v>0</v>
      </c>
      <c r="J72" s="3">
        <v>0</v>
      </c>
    </row>
    <row r="73" s="4" customFormat="1" spans="1:10">
      <c r="A73" s="4" t="s">
        <v>166</v>
      </c>
      <c r="B73" s="4" t="s">
        <v>25</v>
      </c>
      <c r="C73" s="4" t="s">
        <v>23</v>
      </c>
      <c r="D73" s="4" t="s">
        <v>103</v>
      </c>
      <c r="E73" s="8">
        <v>0.1</v>
      </c>
      <c r="F73" s="3">
        <v>8.36</v>
      </c>
      <c r="G73" s="3">
        <v>8.36</v>
      </c>
      <c r="H73" s="8">
        <v>0</v>
      </c>
      <c r="I73" s="10">
        <v>0</v>
      </c>
      <c r="J73" s="3">
        <v>0</v>
      </c>
    </row>
    <row r="74" s="4" customFormat="1" spans="1:10">
      <c r="A74" s="4" t="s">
        <v>167</v>
      </c>
      <c r="B74" s="4" t="s">
        <v>25</v>
      </c>
      <c r="C74" s="4" t="s">
        <v>23</v>
      </c>
      <c r="D74" s="4" t="s">
        <v>103</v>
      </c>
      <c r="E74" s="8">
        <v>0.5</v>
      </c>
      <c r="F74" s="3">
        <v>8.26</v>
      </c>
      <c r="G74" s="3">
        <v>8.26</v>
      </c>
      <c r="H74" s="8">
        <v>0</v>
      </c>
      <c r="I74" s="10">
        <v>0</v>
      </c>
      <c r="J74" s="3">
        <v>0</v>
      </c>
    </row>
    <row r="75" s="4" customFormat="1" spans="1:10">
      <c r="A75" s="4" t="s">
        <v>168</v>
      </c>
      <c r="B75" s="4" t="s">
        <v>25</v>
      </c>
      <c r="C75" s="4" t="s">
        <v>23</v>
      </c>
      <c r="D75" s="4" t="s">
        <v>103</v>
      </c>
      <c r="E75" s="8">
        <v>0.5</v>
      </c>
      <c r="F75" s="3">
        <v>7.87</v>
      </c>
      <c r="G75" s="3">
        <v>7.87</v>
      </c>
      <c r="H75" s="8">
        <v>0</v>
      </c>
      <c r="I75" s="10">
        <v>0</v>
      </c>
      <c r="J75" s="3">
        <v>0</v>
      </c>
    </row>
    <row r="76" s="4" customFormat="1" spans="1:10">
      <c r="A76" s="4" t="s">
        <v>169</v>
      </c>
      <c r="B76" s="4" t="s">
        <v>25</v>
      </c>
      <c r="C76" s="4" t="s">
        <v>23</v>
      </c>
      <c r="D76" s="4" t="s">
        <v>103</v>
      </c>
      <c r="E76" s="8">
        <v>0.1667</v>
      </c>
      <c r="F76" s="3">
        <v>3.88</v>
      </c>
      <c r="G76" s="3">
        <v>7.76</v>
      </c>
      <c r="H76" s="8">
        <v>0</v>
      </c>
      <c r="I76" s="10">
        <v>0</v>
      </c>
      <c r="J76" s="3">
        <v>0</v>
      </c>
    </row>
    <row r="77" s="4" customFormat="1" spans="1:10">
      <c r="A77" s="4" t="s">
        <v>170</v>
      </c>
      <c r="B77" s="4" t="s">
        <v>118</v>
      </c>
      <c r="C77" s="4" t="s">
        <v>26</v>
      </c>
      <c r="D77" s="4" t="s">
        <v>110</v>
      </c>
      <c r="E77" s="8">
        <v>1</v>
      </c>
      <c r="F77" s="3">
        <v>7.72</v>
      </c>
      <c r="G77" s="3">
        <v>7.72</v>
      </c>
      <c r="H77" s="8">
        <v>0</v>
      </c>
      <c r="I77" s="10">
        <v>0</v>
      </c>
      <c r="J77" s="3">
        <v>0</v>
      </c>
    </row>
    <row r="78" s="4" customFormat="1" spans="1:10">
      <c r="A78" s="4" t="s">
        <v>105</v>
      </c>
      <c r="B78" s="4" t="s">
        <v>109</v>
      </c>
      <c r="C78" s="4" t="s">
        <v>26</v>
      </c>
      <c r="D78" s="4" t="s">
        <v>119</v>
      </c>
      <c r="E78" s="8">
        <v>0.0408</v>
      </c>
      <c r="F78" s="3">
        <v>1.92</v>
      </c>
      <c r="G78" s="3">
        <v>7.69</v>
      </c>
      <c r="H78" s="8">
        <v>0</v>
      </c>
      <c r="I78" s="10">
        <v>0</v>
      </c>
      <c r="J78" s="3">
        <v>0</v>
      </c>
    </row>
    <row r="79" s="4" customFormat="1" spans="1:10">
      <c r="A79" s="4" t="s">
        <v>171</v>
      </c>
      <c r="B79" s="4" t="s">
        <v>25</v>
      </c>
      <c r="C79" s="4" t="s">
        <v>23</v>
      </c>
      <c r="D79" s="4" t="s">
        <v>103</v>
      </c>
      <c r="E79" s="8">
        <v>0.0145</v>
      </c>
      <c r="F79" s="3">
        <v>3.84</v>
      </c>
      <c r="G79" s="3">
        <v>7.68</v>
      </c>
      <c r="H79" s="8">
        <v>0.5</v>
      </c>
      <c r="I79" s="10">
        <v>1</v>
      </c>
      <c r="J79" s="3">
        <v>7.68</v>
      </c>
    </row>
    <row r="80" s="4" customFormat="1" spans="1:10">
      <c r="A80" s="4" t="s">
        <v>172</v>
      </c>
      <c r="B80" s="4" t="s">
        <v>25</v>
      </c>
      <c r="C80" s="4" t="s">
        <v>23</v>
      </c>
      <c r="D80" s="4" t="s">
        <v>103</v>
      </c>
      <c r="E80" s="8">
        <v>0.0816</v>
      </c>
      <c r="F80" s="3">
        <v>1.92</v>
      </c>
      <c r="G80" s="3">
        <v>7.66</v>
      </c>
      <c r="H80" s="8">
        <v>0</v>
      </c>
      <c r="I80" s="10">
        <v>0</v>
      </c>
      <c r="J80" s="3">
        <v>0</v>
      </c>
    </row>
    <row r="81" s="4" customFormat="1" spans="1:10">
      <c r="A81" s="4" t="s">
        <v>173</v>
      </c>
      <c r="B81" s="4" t="s">
        <v>25</v>
      </c>
      <c r="C81" s="4" t="s">
        <v>23</v>
      </c>
      <c r="D81" s="4" t="s">
        <v>103</v>
      </c>
      <c r="E81" s="8">
        <v>0.1667</v>
      </c>
      <c r="F81" s="3">
        <v>7.54</v>
      </c>
      <c r="G81" s="3">
        <v>7.54</v>
      </c>
      <c r="H81" s="8">
        <v>1</v>
      </c>
      <c r="I81" s="10">
        <v>1</v>
      </c>
      <c r="J81" s="3">
        <v>7.54</v>
      </c>
    </row>
    <row r="82" s="4" customFormat="1" spans="1:10">
      <c r="A82" s="4" t="s">
        <v>174</v>
      </c>
      <c r="B82" s="4" t="s">
        <v>25</v>
      </c>
      <c r="C82" s="4" t="s">
        <v>23</v>
      </c>
      <c r="D82" s="4" t="s">
        <v>103</v>
      </c>
      <c r="E82" s="8">
        <v>0.3333</v>
      </c>
      <c r="F82" s="3">
        <v>7.16</v>
      </c>
      <c r="G82" s="3">
        <v>7.16</v>
      </c>
      <c r="H82" s="8">
        <v>1</v>
      </c>
      <c r="I82" s="10">
        <v>1</v>
      </c>
      <c r="J82" s="3">
        <v>7.16</v>
      </c>
    </row>
    <row r="83" s="4" customFormat="1" spans="1:10">
      <c r="A83" s="4" t="s">
        <v>175</v>
      </c>
      <c r="B83" s="4" t="s">
        <v>118</v>
      </c>
      <c r="C83" s="4" t="s">
        <v>26</v>
      </c>
      <c r="D83" s="4" t="s">
        <v>119</v>
      </c>
      <c r="E83" s="8">
        <v>1</v>
      </c>
      <c r="F83" s="3">
        <v>7.07</v>
      </c>
      <c r="G83" s="3">
        <v>7.07</v>
      </c>
      <c r="H83" s="8">
        <v>0</v>
      </c>
      <c r="I83" s="10">
        <v>0</v>
      </c>
      <c r="J83" s="3">
        <v>0</v>
      </c>
    </row>
    <row r="84" s="4" customFormat="1" spans="1:10">
      <c r="A84" s="4" t="s">
        <v>176</v>
      </c>
      <c r="B84" s="4" t="s">
        <v>25</v>
      </c>
      <c r="C84" s="4" t="s">
        <v>23</v>
      </c>
      <c r="D84" s="4" t="s">
        <v>103</v>
      </c>
      <c r="E84" s="8">
        <v>0.25</v>
      </c>
      <c r="F84" s="3">
        <v>6.94</v>
      </c>
      <c r="G84" s="3">
        <v>6.94</v>
      </c>
      <c r="H84" s="8">
        <v>0</v>
      </c>
      <c r="I84" s="10">
        <v>0</v>
      </c>
      <c r="J84" s="3">
        <v>0</v>
      </c>
    </row>
    <row r="85" s="4" customFormat="1" spans="1:10">
      <c r="A85" s="4" t="s">
        <v>177</v>
      </c>
      <c r="B85" s="4" t="s">
        <v>25</v>
      </c>
      <c r="C85" s="4" t="s">
        <v>28</v>
      </c>
      <c r="D85" s="4" t="s">
        <v>103</v>
      </c>
      <c r="E85" s="8">
        <v>0.5</v>
      </c>
      <c r="F85" s="3">
        <v>6.92</v>
      </c>
      <c r="G85" s="3">
        <v>6.92</v>
      </c>
      <c r="H85" s="8">
        <v>0</v>
      </c>
      <c r="I85" s="10">
        <v>0</v>
      </c>
      <c r="J85" s="3">
        <v>0</v>
      </c>
    </row>
    <row r="86" s="4" customFormat="1" spans="1:10">
      <c r="A86" s="4" t="s">
        <v>178</v>
      </c>
      <c r="B86" s="4" t="s">
        <v>118</v>
      </c>
      <c r="C86" s="4" t="s">
        <v>26</v>
      </c>
      <c r="D86" s="4" t="s">
        <v>110</v>
      </c>
      <c r="E86" s="8">
        <v>0.0909</v>
      </c>
      <c r="F86" s="3">
        <v>6.88</v>
      </c>
      <c r="G86" s="3">
        <v>6.88</v>
      </c>
      <c r="H86" s="8">
        <v>0</v>
      </c>
      <c r="I86" s="10">
        <v>0</v>
      </c>
      <c r="J86" s="3">
        <v>0</v>
      </c>
    </row>
    <row r="87" s="4" customFormat="1" spans="1:10">
      <c r="A87" s="4" t="s">
        <v>179</v>
      </c>
      <c r="B87" s="4" t="s">
        <v>25</v>
      </c>
      <c r="C87" s="4" t="s">
        <v>28</v>
      </c>
      <c r="D87" s="4" t="s">
        <v>103</v>
      </c>
      <c r="E87" s="8">
        <v>1</v>
      </c>
      <c r="F87" s="3">
        <v>6.69</v>
      </c>
      <c r="G87" s="3">
        <v>6.69</v>
      </c>
      <c r="H87" s="8">
        <v>0</v>
      </c>
      <c r="I87" s="10">
        <v>0</v>
      </c>
      <c r="J87" s="3">
        <v>0</v>
      </c>
    </row>
    <row r="88" s="4" customFormat="1" spans="1:10">
      <c r="A88" s="4" t="s">
        <v>117</v>
      </c>
      <c r="B88" s="4" t="s">
        <v>25</v>
      </c>
      <c r="C88" s="4" t="s">
        <v>23</v>
      </c>
      <c r="D88" s="4" t="s">
        <v>103</v>
      </c>
      <c r="E88" s="8">
        <v>0.15</v>
      </c>
      <c r="F88" s="3">
        <v>2.18</v>
      </c>
      <c r="G88" s="3">
        <v>6.54</v>
      </c>
      <c r="H88" s="8">
        <v>0</v>
      </c>
      <c r="I88" s="10">
        <v>0</v>
      </c>
      <c r="J88" s="3">
        <v>0</v>
      </c>
    </row>
    <row r="89" s="4" customFormat="1" spans="1:10">
      <c r="A89" s="4" t="s">
        <v>180</v>
      </c>
      <c r="B89" s="4" t="s">
        <v>25</v>
      </c>
      <c r="C89" s="4" t="s">
        <v>23</v>
      </c>
      <c r="D89" s="4" t="s">
        <v>103</v>
      </c>
      <c r="E89" s="8">
        <v>0.0476</v>
      </c>
      <c r="F89" s="3">
        <v>6.47</v>
      </c>
      <c r="G89" s="3">
        <v>6.47</v>
      </c>
      <c r="H89" s="8">
        <v>0</v>
      </c>
      <c r="I89" s="10">
        <v>0</v>
      </c>
      <c r="J89" s="3">
        <v>0</v>
      </c>
    </row>
    <row r="90" s="4" customFormat="1" spans="1:10">
      <c r="A90" s="4" t="s">
        <v>181</v>
      </c>
      <c r="B90" s="4" t="s">
        <v>135</v>
      </c>
      <c r="C90" s="4" t="s">
        <v>26</v>
      </c>
      <c r="D90" t="s">
        <v>110</v>
      </c>
      <c r="E90" s="8">
        <v>0.5</v>
      </c>
      <c r="F90" s="3">
        <v>6.41</v>
      </c>
      <c r="G90" s="3">
        <v>6.41</v>
      </c>
      <c r="H90" s="8">
        <v>0</v>
      </c>
      <c r="I90" s="10">
        <v>0</v>
      </c>
      <c r="J90" s="3">
        <v>0</v>
      </c>
    </row>
    <row r="91" s="4" customFormat="1" spans="1:10">
      <c r="A91" s="4" t="s">
        <v>182</v>
      </c>
      <c r="B91" s="4" t="s">
        <v>25</v>
      </c>
      <c r="C91" s="4" t="s">
        <v>23</v>
      </c>
      <c r="D91" s="4" t="s">
        <v>103</v>
      </c>
      <c r="E91" s="8">
        <v>1</v>
      </c>
      <c r="F91" s="3">
        <v>6.38</v>
      </c>
      <c r="G91" s="3">
        <v>6.38</v>
      </c>
      <c r="H91" s="8">
        <v>0</v>
      </c>
      <c r="I91" s="10">
        <v>0</v>
      </c>
      <c r="J91" s="3">
        <v>0</v>
      </c>
    </row>
    <row r="92" s="4" customFormat="1" spans="1:10">
      <c r="A92" s="4" t="s">
        <v>183</v>
      </c>
      <c r="B92" s="4" t="s">
        <v>25</v>
      </c>
      <c r="C92" s="4" t="s">
        <v>23</v>
      </c>
      <c r="D92" s="4" t="s">
        <v>103</v>
      </c>
      <c r="E92" s="8">
        <v>0.2</v>
      </c>
      <c r="F92" s="3">
        <v>6.33</v>
      </c>
      <c r="G92" s="3">
        <v>6.33</v>
      </c>
      <c r="H92" s="8">
        <v>0</v>
      </c>
      <c r="I92" s="10">
        <v>0</v>
      </c>
      <c r="J92" s="3">
        <v>0</v>
      </c>
    </row>
    <row r="93" s="4" customFormat="1" spans="1:10">
      <c r="A93" s="4" t="s">
        <v>184</v>
      </c>
      <c r="B93" s="4" t="s">
        <v>25</v>
      </c>
      <c r="C93" s="4" t="s">
        <v>23</v>
      </c>
      <c r="D93" s="4" t="s">
        <v>103</v>
      </c>
      <c r="E93" s="8">
        <v>1</v>
      </c>
      <c r="F93" s="3">
        <v>3.1</v>
      </c>
      <c r="G93" s="3">
        <v>6.2</v>
      </c>
      <c r="H93" s="8">
        <v>0</v>
      </c>
      <c r="I93" s="10">
        <v>0</v>
      </c>
      <c r="J93" s="3">
        <v>0</v>
      </c>
    </row>
    <row r="94" s="4" customFormat="1" spans="1:10">
      <c r="A94" s="4" t="s">
        <v>185</v>
      </c>
      <c r="B94" s="4" t="s">
        <v>118</v>
      </c>
      <c r="C94" s="4" t="s">
        <v>26</v>
      </c>
      <c r="D94" s="4" t="s">
        <v>110</v>
      </c>
      <c r="E94" s="8">
        <v>1</v>
      </c>
      <c r="F94" s="3">
        <v>6.19</v>
      </c>
      <c r="G94" s="3">
        <v>6.19</v>
      </c>
      <c r="H94" s="8">
        <v>0</v>
      </c>
      <c r="I94" s="10">
        <v>0</v>
      </c>
      <c r="J94" s="3">
        <v>0</v>
      </c>
    </row>
    <row r="95" s="4" customFormat="1" spans="1:10">
      <c r="A95" s="4" t="s">
        <v>186</v>
      </c>
      <c r="B95" s="4" t="s">
        <v>25</v>
      </c>
      <c r="C95" s="4" t="s">
        <v>23</v>
      </c>
      <c r="D95" s="4" t="s">
        <v>103</v>
      </c>
      <c r="E95" s="8">
        <v>0.25</v>
      </c>
      <c r="F95" s="3">
        <v>6.11</v>
      </c>
      <c r="G95" s="3">
        <v>6.11</v>
      </c>
      <c r="H95" s="8">
        <v>0</v>
      </c>
      <c r="I95" s="10">
        <v>0</v>
      </c>
      <c r="J95" s="3">
        <v>0</v>
      </c>
    </row>
    <row r="96" s="4" customFormat="1" spans="1:10">
      <c r="A96" s="4" t="s">
        <v>187</v>
      </c>
      <c r="B96" s="4" t="s">
        <v>25</v>
      </c>
      <c r="C96" s="4" t="s">
        <v>23</v>
      </c>
      <c r="D96" s="4" t="s">
        <v>103</v>
      </c>
      <c r="E96" s="8">
        <v>0.5</v>
      </c>
      <c r="F96" s="3">
        <v>6.1</v>
      </c>
      <c r="G96" s="3">
        <v>6.1</v>
      </c>
      <c r="H96" s="8">
        <v>0</v>
      </c>
      <c r="I96" s="10">
        <v>0</v>
      </c>
      <c r="J96" s="3">
        <v>0</v>
      </c>
    </row>
    <row r="97" s="4" customFormat="1" spans="1:10">
      <c r="A97" s="4" t="s">
        <v>170</v>
      </c>
      <c r="B97" s="4" t="s">
        <v>118</v>
      </c>
      <c r="C97" s="4" t="s">
        <v>26</v>
      </c>
      <c r="D97" s="4" t="s">
        <v>110</v>
      </c>
      <c r="E97" s="8">
        <v>0.1429</v>
      </c>
      <c r="F97" s="3">
        <v>6.06</v>
      </c>
      <c r="G97" s="3">
        <v>6.06</v>
      </c>
      <c r="H97" s="8">
        <v>0</v>
      </c>
      <c r="I97" s="10">
        <v>0</v>
      </c>
      <c r="J97" s="3">
        <v>0</v>
      </c>
    </row>
    <row r="98" s="4" customFormat="1" spans="1:10">
      <c r="A98" s="4" t="s">
        <v>188</v>
      </c>
      <c r="B98" s="4" t="s">
        <v>25</v>
      </c>
      <c r="C98" s="4" t="s">
        <v>23</v>
      </c>
      <c r="D98" s="4" t="s">
        <v>103</v>
      </c>
      <c r="E98" s="8">
        <v>0.3333</v>
      </c>
      <c r="F98" s="3">
        <v>6.01</v>
      </c>
      <c r="G98" s="3">
        <v>6.01</v>
      </c>
      <c r="H98" s="8">
        <v>0</v>
      </c>
      <c r="I98" s="10">
        <v>0</v>
      </c>
      <c r="J98" s="3">
        <v>0</v>
      </c>
    </row>
    <row r="99" s="4" customFormat="1" spans="1:10">
      <c r="A99" s="4" t="s">
        <v>189</v>
      </c>
      <c r="B99" s="4" t="s">
        <v>25</v>
      </c>
      <c r="C99" s="4" t="s">
        <v>23</v>
      </c>
      <c r="D99" s="4" t="s">
        <v>103</v>
      </c>
      <c r="E99" s="8">
        <v>0.3333</v>
      </c>
      <c r="F99" s="3">
        <v>5.93</v>
      </c>
      <c r="G99" s="3">
        <v>5.93</v>
      </c>
      <c r="H99" s="8">
        <v>0</v>
      </c>
      <c r="I99" s="10">
        <v>0</v>
      </c>
      <c r="J99" s="3">
        <v>0</v>
      </c>
    </row>
    <row r="100" s="4" customFormat="1" spans="1:10">
      <c r="A100" s="4" t="s">
        <v>159</v>
      </c>
      <c r="B100" s="4" t="s">
        <v>25</v>
      </c>
      <c r="C100" s="4" t="s">
        <v>28</v>
      </c>
      <c r="D100" s="4" t="s">
        <v>103</v>
      </c>
      <c r="E100" s="8">
        <v>0.5</v>
      </c>
      <c r="F100" s="3">
        <v>5.93</v>
      </c>
      <c r="G100" s="3">
        <v>5.93</v>
      </c>
      <c r="H100" s="8">
        <v>0</v>
      </c>
      <c r="I100" s="10">
        <v>0</v>
      </c>
      <c r="J100" s="3">
        <v>0</v>
      </c>
    </row>
    <row r="101" s="4" customFormat="1" spans="1:10">
      <c r="A101" s="4" t="s">
        <v>190</v>
      </c>
      <c r="B101" s="4" t="s">
        <v>25</v>
      </c>
      <c r="C101" s="4" t="s">
        <v>23</v>
      </c>
      <c r="D101" s="4" t="s">
        <v>103</v>
      </c>
      <c r="E101" s="8">
        <v>0.5</v>
      </c>
      <c r="F101" s="3">
        <v>5.92</v>
      </c>
      <c r="G101" s="3">
        <v>5.92</v>
      </c>
      <c r="H101" s="8">
        <v>0</v>
      </c>
      <c r="I101" s="10">
        <v>0</v>
      </c>
      <c r="J101" s="3">
        <v>0</v>
      </c>
    </row>
    <row r="102" s="4" customFormat="1" spans="1:10">
      <c r="A102" s="4" t="s">
        <v>191</v>
      </c>
      <c r="B102" s="4" t="s">
        <v>135</v>
      </c>
      <c r="C102" s="4" t="s">
        <v>26</v>
      </c>
      <c r="D102" s="4" t="s">
        <v>192</v>
      </c>
      <c r="E102" s="8">
        <v>0.5</v>
      </c>
      <c r="F102" s="3">
        <v>5.92</v>
      </c>
      <c r="G102" s="3">
        <v>5.92</v>
      </c>
      <c r="H102" s="8">
        <v>0</v>
      </c>
      <c r="I102" s="10">
        <v>0</v>
      </c>
      <c r="J102" s="3">
        <v>0</v>
      </c>
    </row>
    <row r="103" s="4" customFormat="1" spans="1:10">
      <c r="A103" s="4" t="s">
        <v>193</v>
      </c>
      <c r="B103" s="4" t="s">
        <v>126</v>
      </c>
      <c r="C103" s="4" t="s">
        <v>26</v>
      </c>
      <c r="D103" s="4" t="s">
        <v>119</v>
      </c>
      <c r="E103" s="8">
        <v>0.25</v>
      </c>
      <c r="F103" s="3">
        <v>5.91</v>
      </c>
      <c r="G103" s="3">
        <v>5.91</v>
      </c>
      <c r="H103" s="8">
        <v>0</v>
      </c>
      <c r="I103" s="10">
        <v>0</v>
      </c>
      <c r="J103" s="3">
        <v>0</v>
      </c>
    </row>
    <row r="104" s="4" customFormat="1" spans="1:10">
      <c r="A104" s="4" t="s">
        <v>194</v>
      </c>
      <c r="B104" s="4" t="s">
        <v>25</v>
      </c>
      <c r="C104" s="4" t="s">
        <v>23</v>
      </c>
      <c r="D104" s="4" t="s">
        <v>103</v>
      </c>
      <c r="E104" s="8">
        <v>0.2143</v>
      </c>
      <c r="F104" s="3">
        <v>1.95</v>
      </c>
      <c r="G104" s="3">
        <v>5.84</v>
      </c>
      <c r="H104" s="8">
        <v>0</v>
      </c>
      <c r="I104" s="10">
        <v>0</v>
      </c>
      <c r="J104" s="3">
        <v>0</v>
      </c>
    </row>
    <row r="105" s="4" customFormat="1" spans="1:10">
      <c r="A105" s="4" t="s">
        <v>108</v>
      </c>
      <c r="B105" s="4" t="s">
        <v>135</v>
      </c>
      <c r="C105" s="4" t="s">
        <v>26</v>
      </c>
      <c r="D105" s="4" t="s">
        <v>110</v>
      </c>
      <c r="E105" s="8">
        <v>0.5</v>
      </c>
      <c r="F105" s="3">
        <v>5.69</v>
      </c>
      <c r="G105" s="3">
        <v>5.69</v>
      </c>
      <c r="H105" s="8">
        <v>1</v>
      </c>
      <c r="I105" s="10">
        <v>1</v>
      </c>
      <c r="J105" s="3">
        <v>5.69</v>
      </c>
    </row>
    <row r="106" s="4" customFormat="1" spans="1:10">
      <c r="A106" s="4" t="s">
        <v>136</v>
      </c>
      <c r="B106" s="4" t="s">
        <v>25</v>
      </c>
      <c r="C106" s="4" t="s">
        <v>23</v>
      </c>
      <c r="D106" s="4" t="s">
        <v>103</v>
      </c>
      <c r="E106" s="8">
        <v>0.1111</v>
      </c>
      <c r="F106" s="3">
        <v>5.63</v>
      </c>
      <c r="G106" s="3">
        <v>5.63</v>
      </c>
      <c r="H106" s="8">
        <v>0</v>
      </c>
      <c r="I106" s="10">
        <v>0</v>
      </c>
      <c r="J106" s="3">
        <v>0</v>
      </c>
    </row>
    <row r="107" s="4" customFormat="1" spans="1:10">
      <c r="A107" s="4" t="s">
        <v>195</v>
      </c>
      <c r="B107" s="4" t="s">
        <v>25</v>
      </c>
      <c r="C107" s="4" t="s">
        <v>23</v>
      </c>
      <c r="D107" s="4" t="s">
        <v>103</v>
      </c>
      <c r="E107" s="8">
        <v>0.5</v>
      </c>
      <c r="F107" s="3">
        <v>5.61</v>
      </c>
      <c r="G107" s="3">
        <v>5.61</v>
      </c>
      <c r="H107" s="8">
        <v>0</v>
      </c>
      <c r="I107" s="10">
        <v>0</v>
      </c>
      <c r="J107" s="3">
        <v>0</v>
      </c>
    </row>
    <row r="108" s="4" customFormat="1" spans="1:10">
      <c r="A108" s="4" t="s">
        <v>196</v>
      </c>
      <c r="B108" s="4" t="s">
        <v>25</v>
      </c>
      <c r="C108" s="4" t="s">
        <v>23</v>
      </c>
      <c r="D108" s="4" t="s">
        <v>103</v>
      </c>
      <c r="E108" s="8">
        <v>1</v>
      </c>
      <c r="F108" s="3">
        <v>2.78</v>
      </c>
      <c r="G108" s="3">
        <v>5.56</v>
      </c>
      <c r="H108" s="8">
        <v>0</v>
      </c>
      <c r="I108" s="10">
        <v>0</v>
      </c>
      <c r="J108" s="3">
        <v>0</v>
      </c>
    </row>
    <row r="109" s="4" customFormat="1" spans="1:10">
      <c r="A109" s="4" t="s">
        <v>197</v>
      </c>
      <c r="B109" s="4" t="s">
        <v>25</v>
      </c>
      <c r="C109" s="4" t="s">
        <v>23</v>
      </c>
      <c r="D109" s="4" t="s">
        <v>103</v>
      </c>
      <c r="E109" s="8">
        <v>0.5</v>
      </c>
      <c r="F109" s="3">
        <v>5.5</v>
      </c>
      <c r="G109" s="3">
        <v>5.5</v>
      </c>
      <c r="H109" s="8">
        <v>0</v>
      </c>
      <c r="I109" s="10">
        <v>0</v>
      </c>
      <c r="J109" s="3">
        <v>0</v>
      </c>
    </row>
    <row r="110" s="4" customFormat="1" spans="1:10">
      <c r="A110" s="4" t="s">
        <v>198</v>
      </c>
      <c r="B110" s="4" t="s">
        <v>25</v>
      </c>
      <c r="C110" s="4" t="s">
        <v>28</v>
      </c>
      <c r="D110" t="s">
        <v>103</v>
      </c>
      <c r="E110" s="8">
        <v>0.5</v>
      </c>
      <c r="F110" s="3">
        <v>5.45</v>
      </c>
      <c r="G110" s="3">
        <v>5.45</v>
      </c>
      <c r="H110" s="8">
        <v>0</v>
      </c>
      <c r="I110" s="10">
        <v>0</v>
      </c>
      <c r="J110" s="3">
        <v>0</v>
      </c>
    </row>
    <row r="111" s="4" customFormat="1" spans="1:10">
      <c r="A111" s="4" t="s">
        <v>199</v>
      </c>
      <c r="B111" s="4" t="s">
        <v>25</v>
      </c>
      <c r="C111" s="4" t="s">
        <v>23</v>
      </c>
      <c r="D111" s="4" t="s">
        <v>103</v>
      </c>
      <c r="E111" s="8">
        <v>0.1667</v>
      </c>
      <c r="F111" s="3">
        <v>2.7</v>
      </c>
      <c r="G111" s="3">
        <v>5.4</v>
      </c>
      <c r="H111" s="8">
        <v>0</v>
      </c>
      <c r="I111" s="10">
        <v>0</v>
      </c>
      <c r="J111" s="3">
        <v>0</v>
      </c>
    </row>
    <row r="112" s="4" customFormat="1" spans="1:10">
      <c r="A112" s="4" t="s">
        <v>200</v>
      </c>
      <c r="B112" s="4" t="s">
        <v>118</v>
      </c>
      <c r="C112" s="4" t="s">
        <v>26</v>
      </c>
      <c r="D112" s="4" t="s">
        <v>110</v>
      </c>
      <c r="E112" s="8">
        <v>0.3333</v>
      </c>
      <c r="F112" s="3">
        <v>5.33</v>
      </c>
      <c r="G112" s="3">
        <v>5.33</v>
      </c>
      <c r="H112" s="8">
        <v>0</v>
      </c>
      <c r="I112" s="10">
        <v>0</v>
      </c>
      <c r="J112" s="3">
        <v>0</v>
      </c>
    </row>
    <row r="113" s="4" customFormat="1" spans="1:10">
      <c r="A113" s="4" t="s">
        <v>201</v>
      </c>
      <c r="B113" s="4" t="s">
        <v>135</v>
      </c>
      <c r="C113" s="4" t="s">
        <v>26</v>
      </c>
      <c r="D113" s="4" t="s">
        <v>119</v>
      </c>
      <c r="E113" s="8">
        <v>0.3333</v>
      </c>
      <c r="F113" s="3">
        <v>5.31</v>
      </c>
      <c r="G113" s="3">
        <v>5.31</v>
      </c>
      <c r="H113" s="8">
        <v>0</v>
      </c>
      <c r="I113" s="10">
        <v>0</v>
      </c>
      <c r="J113" s="3">
        <v>0</v>
      </c>
    </row>
    <row r="114" s="4" customFormat="1" spans="1:10">
      <c r="A114" s="4" t="s">
        <v>202</v>
      </c>
      <c r="B114" s="4" t="s">
        <v>118</v>
      </c>
      <c r="C114" s="4" t="s">
        <v>26</v>
      </c>
      <c r="D114" s="4" t="s">
        <v>110</v>
      </c>
      <c r="E114" s="8">
        <v>1</v>
      </c>
      <c r="F114" s="3">
        <v>5.31</v>
      </c>
      <c r="G114" s="3">
        <v>5.31</v>
      </c>
      <c r="H114" s="8">
        <v>0</v>
      </c>
      <c r="I114" s="10">
        <v>0</v>
      </c>
      <c r="J114" s="3">
        <v>0</v>
      </c>
    </row>
    <row r="115" s="4" customFormat="1" spans="1:10">
      <c r="A115" s="4" t="s">
        <v>203</v>
      </c>
      <c r="B115" s="4" t="s">
        <v>25</v>
      </c>
      <c r="C115" s="4" t="s">
        <v>23</v>
      </c>
      <c r="D115" s="4" t="s">
        <v>103</v>
      </c>
      <c r="E115" s="8">
        <v>0.5</v>
      </c>
      <c r="F115" s="3">
        <v>5.26</v>
      </c>
      <c r="G115" s="3">
        <v>5.26</v>
      </c>
      <c r="H115" s="8">
        <v>0</v>
      </c>
      <c r="I115" s="10">
        <v>0</v>
      </c>
      <c r="J115" s="3">
        <v>0</v>
      </c>
    </row>
    <row r="116" s="4" customFormat="1" spans="1:10">
      <c r="A116" s="4" t="s">
        <v>204</v>
      </c>
      <c r="B116" s="4" t="s">
        <v>25</v>
      </c>
      <c r="C116" s="4" t="s">
        <v>23</v>
      </c>
      <c r="D116" s="4" t="s">
        <v>103</v>
      </c>
      <c r="E116" s="8">
        <v>1</v>
      </c>
      <c r="F116" s="3">
        <v>5.24</v>
      </c>
      <c r="G116" s="3">
        <v>5.24</v>
      </c>
      <c r="H116" s="8">
        <v>0</v>
      </c>
      <c r="I116" s="10">
        <v>0</v>
      </c>
      <c r="J116" s="3">
        <v>0</v>
      </c>
    </row>
    <row r="117" s="4" customFormat="1" spans="1:10">
      <c r="A117" s="4" t="s">
        <v>205</v>
      </c>
      <c r="B117" s="4" t="s">
        <v>25</v>
      </c>
      <c r="C117" s="4" t="s">
        <v>23</v>
      </c>
      <c r="D117" s="4" t="s">
        <v>103</v>
      </c>
      <c r="E117" s="8">
        <v>0.4</v>
      </c>
      <c r="F117" s="3">
        <v>2.62</v>
      </c>
      <c r="G117" s="3">
        <v>5.23</v>
      </c>
      <c r="H117" s="8">
        <v>0</v>
      </c>
      <c r="I117" s="10">
        <v>0</v>
      </c>
      <c r="J117" s="3">
        <v>0</v>
      </c>
    </row>
    <row r="118" s="4" customFormat="1" spans="1:10">
      <c r="A118" s="4" t="s">
        <v>206</v>
      </c>
      <c r="B118" s="4" t="s">
        <v>25</v>
      </c>
      <c r="C118" s="4" t="s">
        <v>23</v>
      </c>
      <c r="D118" s="4" t="s">
        <v>103</v>
      </c>
      <c r="E118" s="8">
        <v>0.0141</v>
      </c>
      <c r="F118" s="3">
        <v>5.23</v>
      </c>
      <c r="G118" s="3">
        <v>5.23</v>
      </c>
      <c r="H118" s="8">
        <v>0</v>
      </c>
      <c r="I118" s="10">
        <v>0</v>
      </c>
      <c r="J118" s="3">
        <v>0</v>
      </c>
    </row>
    <row r="119" s="4" customFormat="1" spans="1:10">
      <c r="A119" s="4" t="s">
        <v>207</v>
      </c>
      <c r="B119" s="4" t="s">
        <v>25</v>
      </c>
      <c r="C119" s="4" t="s">
        <v>23</v>
      </c>
      <c r="D119" s="4" t="s">
        <v>103</v>
      </c>
      <c r="E119" s="8">
        <v>0.1429</v>
      </c>
      <c r="F119" s="3">
        <v>5.22</v>
      </c>
      <c r="G119" s="3">
        <v>5.22</v>
      </c>
      <c r="H119" s="8">
        <v>1</v>
      </c>
      <c r="I119" s="10">
        <v>1</v>
      </c>
      <c r="J119" s="3">
        <v>5.22</v>
      </c>
    </row>
    <row r="120" s="4" customFormat="1" spans="1:10">
      <c r="A120" s="4" t="s">
        <v>208</v>
      </c>
      <c r="B120" s="4" t="s">
        <v>25</v>
      </c>
      <c r="C120" s="4" t="s">
        <v>23</v>
      </c>
      <c r="D120" s="4" t="s">
        <v>103</v>
      </c>
      <c r="E120" s="8">
        <v>0.5</v>
      </c>
      <c r="F120" s="3">
        <v>5.03</v>
      </c>
      <c r="G120" s="3">
        <v>5.03</v>
      </c>
      <c r="H120" s="8">
        <v>0</v>
      </c>
      <c r="I120" s="10">
        <v>0</v>
      </c>
      <c r="J120" s="3">
        <v>0</v>
      </c>
    </row>
    <row r="121" s="4" customFormat="1" spans="1:10">
      <c r="A121" s="4" t="s">
        <v>209</v>
      </c>
      <c r="B121" s="4" t="s">
        <v>118</v>
      </c>
      <c r="C121" s="4" t="s">
        <v>26</v>
      </c>
      <c r="D121" s="4" t="s">
        <v>119</v>
      </c>
      <c r="E121" s="8">
        <v>0.5</v>
      </c>
      <c r="F121" s="3">
        <v>4.93</v>
      </c>
      <c r="G121" s="3">
        <v>4.93</v>
      </c>
      <c r="H121" s="8">
        <v>0</v>
      </c>
      <c r="I121" s="10">
        <v>0</v>
      </c>
      <c r="J121" s="3">
        <v>0</v>
      </c>
    </row>
    <row r="122" s="4" customFormat="1" spans="1:10">
      <c r="A122" s="4" t="s">
        <v>210</v>
      </c>
      <c r="B122" s="4" t="s">
        <v>118</v>
      </c>
      <c r="C122" s="4" t="s">
        <v>26</v>
      </c>
      <c r="D122" s="4" t="s">
        <v>110</v>
      </c>
      <c r="E122" s="8">
        <v>0.0254</v>
      </c>
      <c r="F122" s="3">
        <v>1.63</v>
      </c>
      <c r="G122" s="3">
        <v>4.88</v>
      </c>
      <c r="H122" s="8">
        <v>0</v>
      </c>
      <c r="I122" s="10">
        <v>0</v>
      </c>
      <c r="J122" s="3">
        <v>0</v>
      </c>
    </row>
    <row r="123" s="4" customFormat="1" spans="1:10">
      <c r="A123" s="4" t="s">
        <v>211</v>
      </c>
      <c r="B123" s="4" t="s">
        <v>25</v>
      </c>
      <c r="C123" s="4" t="s">
        <v>23</v>
      </c>
      <c r="D123" s="4" t="s">
        <v>103</v>
      </c>
      <c r="E123" s="8">
        <v>1</v>
      </c>
      <c r="F123" s="3">
        <v>4.84</v>
      </c>
      <c r="G123" s="3">
        <v>4.84</v>
      </c>
      <c r="H123" s="8">
        <v>0</v>
      </c>
      <c r="I123" s="10">
        <v>0</v>
      </c>
      <c r="J123" s="3">
        <v>0</v>
      </c>
    </row>
    <row r="124" s="4" customFormat="1" spans="1:10">
      <c r="A124" s="4" t="s">
        <v>102</v>
      </c>
      <c r="B124" s="4" t="s">
        <v>118</v>
      </c>
      <c r="C124" s="4" t="s">
        <v>26</v>
      </c>
      <c r="D124" s="4" t="s">
        <v>192</v>
      </c>
      <c r="E124" s="8">
        <v>0.5</v>
      </c>
      <c r="F124" s="3">
        <v>4.79</v>
      </c>
      <c r="G124" s="3">
        <v>4.79</v>
      </c>
      <c r="H124" s="8">
        <v>0</v>
      </c>
      <c r="I124" s="10">
        <v>0</v>
      </c>
      <c r="J124" s="3">
        <v>0</v>
      </c>
    </row>
    <row r="125" s="4" customFormat="1" spans="1:10">
      <c r="A125" s="4" t="s">
        <v>119</v>
      </c>
      <c r="B125" s="4" t="s">
        <v>212</v>
      </c>
      <c r="C125" s="4" t="s">
        <v>26</v>
      </c>
      <c r="D125" s="4" t="s">
        <v>119</v>
      </c>
      <c r="E125" s="8">
        <v>0.0698</v>
      </c>
      <c r="F125" s="3">
        <v>1.59</v>
      </c>
      <c r="G125" s="3">
        <v>4.76</v>
      </c>
      <c r="H125" s="8">
        <v>0</v>
      </c>
      <c r="I125" s="10">
        <v>0</v>
      </c>
      <c r="J125" s="3">
        <v>0</v>
      </c>
    </row>
    <row r="126" s="4" customFormat="1" spans="1:10">
      <c r="A126" s="4" t="s">
        <v>213</v>
      </c>
      <c r="B126" s="4" t="s">
        <v>25</v>
      </c>
      <c r="C126" s="4" t="s">
        <v>23</v>
      </c>
      <c r="D126" s="4" t="s">
        <v>103</v>
      </c>
      <c r="E126" s="8">
        <v>0.2</v>
      </c>
      <c r="F126" s="3">
        <v>4.68</v>
      </c>
      <c r="G126" s="3">
        <v>4.68</v>
      </c>
      <c r="H126" s="8">
        <v>0</v>
      </c>
      <c r="I126" s="10">
        <v>0</v>
      </c>
      <c r="J126" s="3">
        <v>0</v>
      </c>
    </row>
    <row r="127" s="4" customFormat="1" spans="1:10">
      <c r="A127" s="4" t="s">
        <v>214</v>
      </c>
      <c r="B127" s="4" t="s">
        <v>25</v>
      </c>
      <c r="C127" s="4" t="s">
        <v>23</v>
      </c>
      <c r="D127" s="4" t="s">
        <v>103</v>
      </c>
      <c r="E127" s="8">
        <v>0.05</v>
      </c>
      <c r="F127" s="3">
        <v>4.68</v>
      </c>
      <c r="G127" s="3">
        <v>4.68</v>
      </c>
      <c r="H127" s="8">
        <v>0</v>
      </c>
      <c r="I127" s="10">
        <v>0</v>
      </c>
      <c r="J127" s="3">
        <v>0</v>
      </c>
    </row>
    <row r="128" s="4" customFormat="1" spans="1:10">
      <c r="A128" s="4" t="s">
        <v>152</v>
      </c>
      <c r="B128" s="4" t="s">
        <v>25</v>
      </c>
      <c r="C128" s="4" t="s">
        <v>28</v>
      </c>
      <c r="D128" s="4" t="s">
        <v>103</v>
      </c>
      <c r="E128" s="8">
        <v>0.5</v>
      </c>
      <c r="F128" s="3">
        <v>4.67</v>
      </c>
      <c r="G128" s="3">
        <v>4.67</v>
      </c>
      <c r="H128" s="8">
        <v>0</v>
      </c>
      <c r="I128" s="10">
        <v>0</v>
      </c>
      <c r="J128" s="3">
        <v>0</v>
      </c>
    </row>
    <row r="129" s="4" customFormat="1" spans="1:10">
      <c r="A129" s="4" t="s">
        <v>215</v>
      </c>
      <c r="B129" s="4" t="s">
        <v>25</v>
      </c>
      <c r="C129" s="4" t="s">
        <v>23</v>
      </c>
      <c r="D129" s="4" t="s">
        <v>103</v>
      </c>
      <c r="E129" s="8">
        <v>0.5</v>
      </c>
      <c r="F129" s="3">
        <v>4.65</v>
      </c>
      <c r="G129" s="3">
        <v>4.65</v>
      </c>
      <c r="H129" s="8">
        <v>0</v>
      </c>
      <c r="I129" s="10">
        <v>0</v>
      </c>
      <c r="J129" s="3">
        <v>0</v>
      </c>
    </row>
    <row r="130" s="4" customFormat="1" spans="1:10">
      <c r="A130" s="4" t="s">
        <v>144</v>
      </c>
      <c r="B130" s="4" t="s">
        <v>25</v>
      </c>
      <c r="C130" s="4" t="s">
        <v>28</v>
      </c>
      <c r="D130" s="4" t="s">
        <v>103</v>
      </c>
      <c r="E130" s="8">
        <v>0.3333</v>
      </c>
      <c r="F130" s="3">
        <v>4.61</v>
      </c>
      <c r="G130" s="3">
        <v>4.61</v>
      </c>
      <c r="H130" s="8">
        <v>0</v>
      </c>
      <c r="I130" s="10">
        <v>0</v>
      </c>
      <c r="J130" s="3">
        <v>0</v>
      </c>
    </row>
    <row r="131" s="4" customFormat="1" spans="1:10">
      <c r="A131" s="4" t="s">
        <v>216</v>
      </c>
      <c r="B131" s="4" t="s">
        <v>109</v>
      </c>
      <c r="C131" s="4" t="s">
        <v>26</v>
      </c>
      <c r="D131" s="4" t="s">
        <v>119</v>
      </c>
      <c r="E131" s="8">
        <v>0.5</v>
      </c>
      <c r="F131" s="3">
        <v>4.55</v>
      </c>
      <c r="G131" s="3">
        <v>4.55</v>
      </c>
      <c r="H131" s="8">
        <v>0</v>
      </c>
      <c r="I131" s="10">
        <v>0</v>
      </c>
      <c r="J131" s="3">
        <v>0</v>
      </c>
    </row>
    <row r="132" s="4" customFormat="1" spans="1:10">
      <c r="A132" s="4" t="s">
        <v>102</v>
      </c>
      <c r="B132" s="4" t="s">
        <v>217</v>
      </c>
      <c r="C132" s="4" t="s">
        <v>26</v>
      </c>
      <c r="D132" s="4" t="s">
        <v>103</v>
      </c>
      <c r="E132" s="8">
        <v>0.4</v>
      </c>
      <c r="F132" s="3">
        <v>2.23</v>
      </c>
      <c r="G132" s="3">
        <v>4.46</v>
      </c>
      <c r="H132" s="8">
        <v>0</v>
      </c>
      <c r="I132" s="10">
        <v>0</v>
      </c>
      <c r="J132" s="3">
        <v>0</v>
      </c>
    </row>
    <row r="133" s="4" customFormat="1" spans="1:10">
      <c r="A133" s="4" t="s">
        <v>218</v>
      </c>
      <c r="B133" s="4" t="s">
        <v>109</v>
      </c>
      <c r="C133" s="4" t="s">
        <v>26</v>
      </c>
      <c r="D133" s="4" t="s">
        <v>119</v>
      </c>
      <c r="E133" s="8">
        <v>0.5</v>
      </c>
      <c r="F133" s="3">
        <v>4.45</v>
      </c>
      <c r="G133" s="3">
        <v>4.45</v>
      </c>
      <c r="H133" s="8">
        <v>0</v>
      </c>
      <c r="I133" s="10">
        <v>0</v>
      </c>
      <c r="J133" s="3">
        <v>0</v>
      </c>
    </row>
    <row r="134" s="4" customFormat="1" spans="1:10">
      <c r="A134" s="4" t="s">
        <v>219</v>
      </c>
      <c r="B134" s="4" t="s">
        <v>25</v>
      </c>
      <c r="C134" s="4" t="s">
        <v>23</v>
      </c>
      <c r="D134" s="4" t="s">
        <v>103</v>
      </c>
      <c r="E134" s="8">
        <v>0.0261</v>
      </c>
      <c r="F134" s="3">
        <v>1.1</v>
      </c>
      <c r="G134" s="3">
        <v>4.42</v>
      </c>
      <c r="H134" s="8">
        <v>0</v>
      </c>
      <c r="I134" s="10">
        <v>0</v>
      </c>
      <c r="J134" s="3">
        <v>0</v>
      </c>
    </row>
    <row r="135" s="4" customFormat="1" spans="1:10">
      <c r="A135" s="4" t="s">
        <v>220</v>
      </c>
      <c r="B135" s="4" t="s">
        <v>135</v>
      </c>
      <c r="C135" s="4" t="s">
        <v>26</v>
      </c>
      <c r="D135" s="4" t="s">
        <v>111</v>
      </c>
      <c r="E135" s="8">
        <v>0.6667</v>
      </c>
      <c r="F135" s="3">
        <v>2.2</v>
      </c>
      <c r="G135" s="3">
        <v>4.39</v>
      </c>
      <c r="H135" s="8">
        <v>0</v>
      </c>
      <c r="I135" s="10">
        <v>0</v>
      </c>
      <c r="J135" s="3">
        <v>0</v>
      </c>
    </row>
    <row r="136" s="4" customFormat="1" spans="1:10">
      <c r="A136" s="4" t="s">
        <v>221</v>
      </c>
      <c r="B136" s="4" t="s">
        <v>25</v>
      </c>
      <c r="C136" s="4" t="s">
        <v>23</v>
      </c>
      <c r="D136" s="4" t="s">
        <v>103</v>
      </c>
      <c r="E136" s="8">
        <v>0.2</v>
      </c>
      <c r="F136" s="3">
        <v>4.39</v>
      </c>
      <c r="G136" s="3">
        <v>4.39</v>
      </c>
      <c r="H136" s="8">
        <v>0</v>
      </c>
      <c r="I136" s="10">
        <v>0</v>
      </c>
      <c r="J136" s="3">
        <v>0</v>
      </c>
    </row>
    <row r="137" s="4" customFormat="1" spans="1:10">
      <c r="A137" s="4" t="s">
        <v>222</v>
      </c>
      <c r="B137" s="4" t="s">
        <v>126</v>
      </c>
      <c r="C137" s="4" t="s">
        <v>26</v>
      </c>
      <c r="D137" s="4" t="s">
        <v>119</v>
      </c>
      <c r="E137" s="8">
        <v>0.25</v>
      </c>
      <c r="F137" s="3">
        <v>4.36</v>
      </c>
      <c r="G137" s="3">
        <v>4.36</v>
      </c>
      <c r="H137" s="8">
        <v>0</v>
      </c>
      <c r="I137" s="10">
        <v>0</v>
      </c>
      <c r="J137" s="3">
        <v>0</v>
      </c>
    </row>
    <row r="138" s="4" customFormat="1" spans="1:10">
      <c r="A138" s="4" t="s">
        <v>223</v>
      </c>
      <c r="B138" s="4" t="s">
        <v>118</v>
      </c>
      <c r="C138" s="4" t="s">
        <v>26</v>
      </c>
      <c r="D138" s="4" t="s">
        <v>110</v>
      </c>
      <c r="E138" s="8">
        <v>1</v>
      </c>
      <c r="F138" s="3">
        <v>4.35</v>
      </c>
      <c r="G138" s="3">
        <v>4.35</v>
      </c>
      <c r="H138" s="8">
        <v>0</v>
      </c>
      <c r="I138" s="10">
        <v>0</v>
      </c>
      <c r="J138" s="3">
        <v>0</v>
      </c>
    </row>
    <row r="139" s="4" customFormat="1" spans="1:10">
      <c r="A139" s="4" t="s">
        <v>224</v>
      </c>
      <c r="B139" s="4" t="s">
        <v>25</v>
      </c>
      <c r="C139" s="4" t="s">
        <v>23</v>
      </c>
      <c r="D139" s="4" t="s">
        <v>103</v>
      </c>
      <c r="E139" s="8">
        <v>0.2</v>
      </c>
      <c r="F139" s="3">
        <v>4.28</v>
      </c>
      <c r="G139" s="3">
        <v>4.28</v>
      </c>
      <c r="H139" s="8">
        <v>0</v>
      </c>
      <c r="I139" s="10">
        <v>0</v>
      </c>
      <c r="J139" s="3">
        <v>0</v>
      </c>
    </row>
    <row r="140" s="4" customFormat="1" spans="1:10">
      <c r="A140" s="4" t="s">
        <v>225</v>
      </c>
      <c r="B140" s="4" t="s">
        <v>25</v>
      </c>
      <c r="C140" s="4" t="s">
        <v>23</v>
      </c>
      <c r="D140" s="4" t="s">
        <v>103</v>
      </c>
      <c r="E140" s="8">
        <v>0.2807</v>
      </c>
      <c r="F140" s="3">
        <v>0.27</v>
      </c>
      <c r="G140" s="3">
        <v>4.24</v>
      </c>
      <c r="H140" s="8">
        <v>0</v>
      </c>
      <c r="I140" s="10">
        <v>0</v>
      </c>
      <c r="J140" s="3">
        <v>0</v>
      </c>
    </row>
    <row r="141" s="4" customFormat="1" spans="1:10">
      <c r="A141" s="4" t="s">
        <v>226</v>
      </c>
      <c r="B141" s="4" t="s">
        <v>25</v>
      </c>
      <c r="C141" s="4" t="s">
        <v>23</v>
      </c>
      <c r="D141" s="4" t="s">
        <v>103</v>
      </c>
      <c r="E141" s="8">
        <v>0.25</v>
      </c>
      <c r="F141" s="3">
        <v>4.17</v>
      </c>
      <c r="G141" s="3">
        <v>4.17</v>
      </c>
      <c r="H141" s="8">
        <v>0</v>
      </c>
      <c r="I141" s="10">
        <v>0</v>
      </c>
      <c r="J141" s="3">
        <v>0</v>
      </c>
    </row>
    <row r="142" s="4" customFormat="1" spans="1:10">
      <c r="A142" s="4" t="s">
        <v>227</v>
      </c>
      <c r="B142" s="4" t="s">
        <v>25</v>
      </c>
      <c r="C142" s="4" t="s">
        <v>23</v>
      </c>
      <c r="D142" s="4" t="s">
        <v>103</v>
      </c>
      <c r="E142" s="8">
        <v>0.0833</v>
      </c>
      <c r="F142" s="3">
        <v>4.16</v>
      </c>
      <c r="G142" s="3">
        <v>4.16</v>
      </c>
      <c r="H142" s="8">
        <v>0</v>
      </c>
      <c r="I142" s="10">
        <v>0</v>
      </c>
      <c r="J142" s="3">
        <v>0</v>
      </c>
    </row>
    <row r="143" s="4" customFormat="1" spans="1:10">
      <c r="A143" s="4" t="s">
        <v>228</v>
      </c>
      <c r="B143" s="4" t="s">
        <v>25</v>
      </c>
      <c r="C143" s="4" t="s">
        <v>23</v>
      </c>
      <c r="D143" s="4" t="s">
        <v>103</v>
      </c>
      <c r="E143" s="8">
        <v>0.25</v>
      </c>
      <c r="F143" s="3">
        <v>4.16</v>
      </c>
      <c r="G143" s="3">
        <v>4.16</v>
      </c>
      <c r="H143" s="8">
        <v>0</v>
      </c>
      <c r="I143" s="10">
        <v>0</v>
      </c>
      <c r="J143" s="3">
        <v>0</v>
      </c>
    </row>
    <row r="144" s="4" customFormat="1" spans="1:10">
      <c r="A144" s="4" t="s">
        <v>229</v>
      </c>
      <c r="B144" s="4" t="s">
        <v>25</v>
      </c>
      <c r="C144" s="4" t="s">
        <v>23</v>
      </c>
      <c r="D144" s="4" t="s">
        <v>103</v>
      </c>
      <c r="E144" s="8">
        <v>0.5</v>
      </c>
      <c r="F144" s="3">
        <v>4.15</v>
      </c>
      <c r="G144" s="3">
        <v>4.15</v>
      </c>
      <c r="H144" s="8">
        <v>0</v>
      </c>
      <c r="I144" s="10">
        <v>0</v>
      </c>
      <c r="J144" s="3">
        <v>0</v>
      </c>
    </row>
    <row r="145" s="4" customFormat="1" spans="1:10">
      <c r="A145" s="4" t="s">
        <v>230</v>
      </c>
      <c r="B145" s="4" t="s">
        <v>25</v>
      </c>
      <c r="C145" s="4" t="s">
        <v>23</v>
      </c>
      <c r="D145" s="4" t="s">
        <v>103</v>
      </c>
      <c r="E145" s="8">
        <v>0.6667</v>
      </c>
      <c r="F145" s="3">
        <v>2.06</v>
      </c>
      <c r="G145" s="3">
        <v>4.13</v>
      </c>
      <c r="H145" s="8">
        <v>0</v>
      </c>
      <c r="I145" s="10">
        <v>0</v>
      </c>
      <c r="J145" s="3">
        <v>0</v>
      </c>
    </row>
    <row r="146" s="4" customFormat="1" spans="1:10">
      <c r="A146" s="4" t="s">
        <v>231</v>
      </c>
      <c r="B146" s="4" t="s">
        <v>25</v>
      </c>
      <c r="C146" s="4" t="s">
        <v>28</v>
      </c>
      <c r="D146" s="4" t="s">
        <v>103</v>
      </c>
      <c r="E146" s="8">
        <v>0.5</v>
      </c>
      <c r="F146" s="3">
        <v>4.05</v>
      </c>
      <c r="G146" s="3">
        <v>4.05</v>
      </c>
      <c r="H146" s="8">
        <v>0</v>
      </c>
      <c r="I146" s="10">
        <v>0</v>
      </c>
      <c r="J146" s="3">
        <v>0</v>
      </c>
    </row>
    <row r="147" s="4" customFormat="1" spans="1:10">
      <c r="A147" s="4" t="s">
        <v>232</v>
      </c>
      <c r="B147" s="4" t="s">
        <v>25</v>
      </c>
      <c r="C147" s="4" t="s">
        <v>23</v>
      </c>
      <c r="D147" s="4" t="s">
        <v>103</v>
      </c>
      <c r="E147" s="8">
        <v>0.25</v>
      </c>
      <c r="F147" s="3">
        <v>4.02</v>
      </c>
      <c r="G147" s="3">
        <v>4.02</v>
      </c>
      <c r="H147" s="8">
        <v>0</v>
      </c>
      <c r="I147" s="10">
        <v>0</v>
      </c>
      <c r="J147" s="3">
        <v>0</v>
      </c>
    </row>
    <row r="148" s="4" customFormat="1" spans="1:10">
      <c r="A148" s="4" t="s">
        <v>233</v>
      </c>
      <c r="B148" s="4" t="s">
        <v>25</v>
      </c>
      <c r="C148" s="4" t="s">
        <v>23</v>
      </c>
      <c r="D148" s="4" t="s">
        <v>103</v>
      </c>
      <c r="E148" s="8">
        <v>1</v>
      </c>
      <c r="F148" s="3">
        <v>4.01</v>
      </c>
      <c r="G148" s="3">
        <v>4.01</v>
      </c>
      <c r="H148" s="8">
        <v>0</v>
      </c>
      <c r="I148" s="10">
        <v>0</v>
      </c>
      <c r="J148" s="3">
        <v>0</v>
      </c>
    </row>
    <row r="149" s="4" customFormat="1" spans="1:10">
      <c r="A149" s="4" t="s">
        <v>234</v>
      </c>
      <c r="B149" s="4" t="s">
        <v>118</v>
      </c>
      <c r="C149" s="4" t="s">
        <v>26</v>
      </c>
      <c r="D149" s="4" t="s">
        <v>110</v>
      </c>
      <c r="E149" s="8">
        <v>0.5</v>
      </c>
      <c r="F149" s="3">
        <v>3.98</v>
      </c>
      <c r="G149" s="3">
        <v>3.98</v>
      </c>
      <c r="H149" s="8">
        <v>0</v>
      </c>
      <c r="I149" s="10">
        <v>0</v>
      </c>
      <c r="J149" s="3">
        <v>0</v>
      </c>
    </row>
    <row r="150" s="4" customFormat="1" spans="1:10">
      <c r="A150" s="4" t="s">
        <v>235</v>
      </c>
      <c r="B150" s="4" t="s">
        <v>25</v>
      </c>
      <c r="C150" s="4" t="s">
        <v>23</v>
      </c>
      <c r="D150" s="4" t="s">
        <v>103</v>
      </c>
      <c r="E150" s="8">
        <v>2</v>
      </c>
      <c r="F150" s="3">
        <v>1.97</v>
      </c>
      <c r="G150" s="3">
        <v>3.93</v>
      </c>
      <c r="H150" s="8">
        <v>0</v>
      </c>
      <c r="I150" s="10">
        <v>0</v>
      </c>
      <c r="J150" s="3">
        <v>0</v>
      </c>
    </row>
    <row r="151" s="4" customFormat="1" spans="1:10">
      <c r="A151" s="4" t="s">
        <v>236</v>
      </c>
      <c r="B151" s="4" t="s">
        <v>25</v>
      </c>
      <c r="C151" s="4" t="s">
        <v>23</v>
      </c>
      <c r="D151" s="4" t="s">
        <v>103</v>
      </c>
      <c r="E151" s="8">
        <v>0.3333</v>
      </c>
      <c r="F151" s="3">
        <v>3.92</v>
      </c>
      <c r="G151" s="3">
        <v>3.92</v>
      </c>
      <c r="H151" s="8">
        <v>0</v>
      </c>
      <c r="I151" s="10">
        <v>0</v>
      </c>
      <c r="J151" s="3">
        <v>0</v>
      </c>
    </row>
    <row r="152" s="4" customFormat="1" spans="1:10">
      <c r="A152" s="4" t="s">
        <v>237</v>
      </c>
      <c r="B152" s="4" t="s">
        <v>25</v>
      </c>
      <c r="C152" s="4" t="s">
        <v>23</v>
      </c>
      <c r="D152" s="4" t="s">
        <v>103</v>
      </c>
      <c r="E152" s="8">
        <v>0.5</v>
      </c>
      <c r="F152" s="3">
        <v>3.91</v>
      </c>
      <c r="G152" s="3">
        <v>3.91</v>
      </c>
      <c r="H152" s="8">
        <v>0</v>
      </c>
      <c r="I152" s="10">
        <v>0</v>
      </c>
      <c r="J152" s="3">
        <v>0</v>
      </c>
    </row>
    <row r="153" s="4" customFormat="1" spans="1:10">
      <c r="A153" s="4" t="s">
        <v>238</v>
      </c>
      <c r="B153" s="4" t="s">
        <v>25</v>
      </c>
      <c r="C153" s="4" t="s">
        <v>23</v>
      </c>
      <c r="D153" s="4" t="s">
        <v>103</v>
      </c>
      <c r="E153" s="8">
        <v>1</v>
      </c>
      <c r="F153" s="3">
        <v>3.91</v>
      </c>
      <c r="G153" s="3">
        <v>3.91</v>
      </c>
      <c r="H153" s="8">
        <v>0</v>
      </c>
      <c r="I153" s="10">
        <v>0</v>
      </c>
      <c r="J153" s="3">
        <v>0</v>
      </c>
    </row>
    <row r="154" s="4" customFormat="1" spans="1:10">
      <c r="A154" s="4" t="s">
        <v>239</v>
      </c>
      <c r="B154" s="4" t="s">
        <v>25</v>
      </c>
      <c r="C154" s="4" t="s">
        <v>23</v>
      </c>
      <c r="D154" s="4" t="s">
        <v>103</v>
      </c>
      <c r="E154" s="8">
        <v>0.0833</v>
      </c>
      <c r="F154" s="3">
        <v>3.87</v>
      </c>
      <c r="G154" s="3">
        <v>3.87</v>
      </c>
      <c r="H154" s="8">
        <v>0</v>
      </c>
      <c r="I154" s="10">
        <v>0</v>
      </c>
      <c r="J154" s="3">
        <v>0</v>
      </c>
    </row>
    <row r="155" s="4" customFormat="1" spans="1:10">
      <c r="A155" s="4" t="s">
        <v>240</v>
      </c>
      <c r="B155" s="4" t="s">
        <v>25</v>
      </c>
      <c r="C155" s="4" t="s">
        <v>23</v>
      </c>
      <c r="D155" s="4" t="s">
        <v>103</v>
      </c>
      <c r="E155" s="8">
        <v>0.0667</v>
      </c>
      <c r="F155" s="3">
        <v>3.85</v>
      </c>
      <c r="G155" s="3">
        <v>3.85</v>
      </c>
      <c r="H155" s="8">
        <v>0</v>
      </c>
      <c r="I155" s="10">
        <v>0</v>
      </c>
      <c r="J155" s="3">
        <v>0</v>
      </c>
    </row>
    <row r="156" s="4" customFormat="1" spans="1:10">
      <c r="A156" s="4" t="s">
        <v>241</v>
      </c>
      <c r="B156" s="4" t="s">
        <v>25</v>
      </c>
      <c r="C156" s="4" t="s">
        <v>23</v>
      </c>
      <c r="D156" s="4" t="s">
        <v>103</v>
      </c>
      <c r="E156" s="8">
        <v>1</v>
      </c>
      <c r="F156" s="3">
        <v>3.8</v>
      </c>
      <c r="G156" s="3">
        <v>3.8</v>
      </c>
      <c r="H156" s="8">
        <v>0</v>
      </c>
      <c r="I156" s="10">
        <v>0</v>
      </c>
      <c r="J156" s="3">
        <v>0</v>
      </c>
    </row>
    <row r="157" s="4" customFormat="1" spans="1:10">
      <c r="A157" s="4" t="s">
        <v>140</v>
      </c>
      <c r="B157" s="4" t="s">
        <v>118</v>
      </c>
      <c r="C157" s="4" t="s">
        <v>26</v>
      </c>
      <c r="D157" s="4" t="s">
        <v>119</v>
      </c>
      <c r="E157" s="8">
        <v>0.1111</v>
      </c>
      <c r="F157" s="3">
        <v>3.8</v>
      </c>
      <c r="G157" s="3">
        <v>3.8</v>
      </c>
      <c r="H157" s="8">
        <v>0</v>
      </c>
      <c r="I157" s="10">
        <v>0</v>
      </c>
      <c r="J157" s="3">
        <v>0</v>
      </c>
    </row>
    <row r="158" s="4" customFormat="1" spans="1:10">
      <c r="A158" s="4" t="s">
        <v>242</v>
      </c>
      <c r="B158" s="4" t="s">
        <v>118</v>
      </c>
      <c r="C158" s="4" t="s">
        <v>26</v>
      </c>
      <c r="D158" s="4" t="s">
        <v>110</v>
      </c>
      <c r="E158" s="8">
        <v>0.2</v>
      </c>
      <c r="F158" s="3">
        <v>3.76</v>
      </c>
      <c r="G158" s="3">
        <v>3.76</v>
      </c>
      <c r="H158" s="8">
        <v>0</v>
      </c>
      <c r="I158" s="10">
        <v>0</v>
      </c>
      <c r="J158" s="3">
        <v>0</v>
      </c>
    </row>
    <row r="159" s="4" customFormat="1" spans="1:10">
      <c r="A159" s="4" t="s">
        <v>243</v>
      </c>
      <c r="B159" s="4" t="s">
        <v>118</v>
      </c>
      <c r="C159" s="4" t="s">
        <v>26</v>
      </c>
      <c r="D159" s="4" t="s">
        <v>110</v>
      </c>
      <c r="E159" s="8">
        <v>0.2</v>
      </c>
      <c r="F159" s="3">
        <v>3.71</v>
      </c>
      <c r="G159" s="3">
        <v>3.71</v>
      </c>
      <c r="H159" s="8">
        <v>0</v>
      </c>
      <c r="I159" s="10">
        <v>0</v>
      </c>
      <c r="J159" s="3">
        <v>0</v>
      </c>
    </row>
    <row r="160" s="4" customFormat="1" spans="1:10">
      <c r="A160" s="4" t="s">
        <v>244</v>
      </c>
      <c r="B160" s="4" t="s">
        <v>25</v>
      </c>
      <c r="C160" s="4" t="s">
        <v>23</v>
      </c>
      <c r="D160" s="4" t="s">
        <v>103</v>
      </c>
      <c r="E160" s="8">
        <v>1</v>
      </c>
      <c r="F160" s="3">
        <v>3.62</v>
      </c>
      <c r="G160" s="3">
        <v>3.62</v>
      </c>
      <c r="H160" s="8">
        <v>0</v>
      </c>
      <c r="I160" s="10">
        <v>0</v>
      </c>
      <c r="J160" s="3">
        <v>0</v>
      </c>
    </row>
    <row r="161" s="4" customFormat="1" spans="1:10">
      <c r="A161" s="4" t="s">
        <v>245</v>
      </c>
      <c r="B161" s="4" t="s">
        <v>25</v>
      </c>
      <c r="C161" s="4" t="s">
        <v>23</v>
      </c>
      <c r="D161" s="4" t="s">
        <v>103</v>
      </c>
      <c r="E161" s="8">
        <v>0.5</v>
      </c>
      <c r="F161" s="3">
        <v>3.57</v>
      </c>
      <c r="G161" s="3">
        <v>3.57</v>
      </c>
      <c r="H161" s="8">
        <v>0</v>
      </c>
      <c r="I161" s="10">
        <v>0</v>
      </c>
      <c r="J161" s="3">
        <v>0</v>
      </c>
    </row>
    <row r="162" s="4" customFormat="1" spans="1:10">
      <c r="A162" s="4" t="s">
        <v>246</v>
      </c>
      <c r="B162" s="4" t="s">
        <v>25</v>
      </c>
      <c r="C162" s="4" t="s">
        <v>28</v>
      </c>
      <c r="D162" s="4" t="s">
        <v>103</v>
      </c>
      <c r="E162" s="8">
        <v>1</v>
      </c>
      <c r="F162" s="3">
        <v>3.56</v>
      </c>
      <c r="G162" s="3">
        <v>3.56</v>
      </c>
      <c r="H162" s="8">
        <v>0</v>
      </c>
      <c r="I162" s="10">
        <v>0</v>
      </c>
      <c r="J162" s="3">
        <v>0</v>
      </c>
    </row>
    <row r="163" s="4" customFormat="1" spans="1:10">
      <c r="A163" s="4" t="s">
        <v>159</v>
      </c>
      <c r="B163" s="4" t="s">
        <v>25</v>
      </c>
      <c r="C163" s="4" t="s">
        <v>23</v>
      </c>
      <c r="D163" s="4" t="s">
        <v>103</v>
      </c>
      <c r="E163" s="8">
        <v>0.04</v>
      </c>
      <c r="F163" s="3">
        <v>3.54</v>
      </c>
      <c r="G163" s="3">
        <v>3.54</v>
      </c>
      <c r="H163" s="8">
        <v>0</v>
      </c>
      <c r="I163" s="10">
        <v>0</v>
      </c>
      <c r="J163" s="3">
        <v>0</v>
      </c>
    </row>
    <row r="164" s="4" customFormat="1" spans="1:10">
      <c r="A164" s="4" t="s">
        <v>247</v>
      </c>
      <c r="B164" s="4" t="s">
        <v>25</v>
      </c>
      <c r="C164" s="4" t="s">
        <v>23</v>
      </c>
      <c r="D164" s="4" t="s">
        <v>103</v>
      </c>
      <c r="E164" s="8">
        <v>0.4444</v>
      </c>
      <c r="F164" s="3">
        <v>0.88</v>
      </c>
      <c r="G164" s="3">
        <v>3.53</v>
      </c>
      <c r="H164" s="8">
        <v>0</v>
      </c>
      <c r="I164" s="10">
        <v>0</v>
      </c>
      <c r="J164" s="3">
        <v>0</v>
      </c>
    </row>
    <row r="165" s="4" customFormat="1" spans="1:10">
      <c r="A165" s="4" t="s">
        <v>248</v>
      </c>
      <c r="B165" s="4" t="s">
        <v>25</v>
      </c>
      <c r="C165" s="4" t="s">
        <v>23</v>
      </c>
      <c r="D165" s="4" t="s">
        <v>103</v>
      </c>
      <c r="E165" s="8">
        <v>0.5</v>
      </c>
      <c r="F165" s="3">
        <v>3.52</v>
      </c>
      <c r="G165" s="3">
        <v>3.52</v>
      </c>
      <c r="H165" s="8">
        <v>0</v>
      </c>
      <c r="I165" s="10">
        <v>0</v>
      </c>
      <c r="J165" s="3">
        <v>0</v>
      </c>
    </row>
    <row r="166" s="4" customFormat="1" spans="1:10">
      <c r="A166" s="4" t="s">
        <v>249</v>
      </c>
      <c r="B166" s="4" t="s">
        <v>25</v>
      </c>
      <c r="C166" s="4" t="s">
        <v>23</v>
      </c>
      <c r="D166" s="4" t="s">
        <v>103</v>
      </c>
      <c r="E166" s="8">
        <v>1</v>
      </c>
      <c r="F166" s="3">
        <v>3.51</v>
      </c>
      <c r="G166" s="3">
        <v>3.51</v>
      </c>
      <c r="H166" s="8">
        <v>0</v>
      </c>
      <c r="I166" s="10">
        <v>0</v>
      </c>
      <c r="J166" s="3">
        <v>0</v>
      </c>
    </row>
    <row r="167" s="4" customFormat="1" spans="1:10">
      <c r="A167" s="4" t="s">
        <v>250</v>
      </c>
      <c r="B167" s="4" t="s">
        <v>25</v>
      </c>
      <c r="C167" s="4" t="s">
        <v>23</v>
      </c>
      <c r="D167" s="4" t="s">
        <v>103</v>
      </c>
      <c r="E167" s="8">
        <v>1</v>
      </c>
      <c r="F167" s="3">
        <v>3.47</v>
      </c>
      <c r="G167" s="3">
        <v>3.47</v>
      </c>
      <c r="H167" s="8">
        <v>0</v>
      </c>
      <c r="I167" s="10">
        <v>0</v>
      </c>
      <c r="J167" s="3">
        <v>0</v>
      </c>
    </row>
    <row r="168" s="4" customFormat="1" spans="1:10">
      <c r="A168" s="4" t="s">
        <v>162</v>
      </c>
      <c r="B168" s="4" t="s">
        <v>25</v>
      </c>
      <c r="C168" s="4" t="s">
        <v>23</v>
      </c>
      <c r="D168" s="4" t="s">
        <v>103</v>
      </c>
      <c r="E168" s="8">
        <v>0.0333</v>
      </c>
      <c r="F168" s="3">
        <v>1.15</v>
      </c>
      <c r="G168" s="3">
        <v>3.46</v>
      </c>
      <c r="H168" s="8">
        <v>0</v>
      </c>
      <c r="I168" s="10">
        <v>0</v>
      </c>
      <c r="J168" s="3">
        <v>0</v>
      </c>
    </row>
    <row r="169" s="4" customFormat="1" spans="1:10">
      <c r="A169" s="4" t="s">
        <v>251</v>
      </c>
      <c r="B169" s="4" t="s">
        <v>25</v>
      </c>
      <c r="C169" s="4" t="s">
        <v>23</v>
      </c>
      <c r="D169" s="4" t="s">
        <v>103</v>
      </c>
      <c r="E169" s="8">
        <v>0.5</v>
      </c>
      <c r="F169" s="3">
        <v>3.46</v>
      </c>
      <c r="G169" s="3">
        <v>3.46</v>
      </c>
      <c r="H169" s="8">
        <v>0</v>
      </c>
      <c r="I169" s="10">
        <v>0</v>
      </c>
      <c r="J169" s="3">
        <v>0</v>
      </c>
    </row>
    <row r="170" s="4" customFormat="1" spans="1:10">
      <c r="A170" s="4" t="s">
        <v>252</v>
      </c>
      <c r="B170" s="4" t="s">
        <v>25</v>
      </c>
      <c r="C170" s="4" t="s">
        <v>23</v>
      </c>
      <c r="D170" s="4" t="s">
        <v>103</v>
      </c>
      <c r="E170" s="8">
        <v>0.25</v>
      </c>
      <c r="F170" s="3">
        <v>3.4</v>
      </c>
      <c r="G170" s="3">
        <v>3.4</v>
      </c>
      <c r="H170" s="8">
        <v>0</v>
      </c>
      <c r="I170" s="10">
        <v>0</v>
      </c>
      <c r="J170" s="3">
        <v>0</v>
      </c>
    </row>
    <row r="171" s="4" customFormat="1" spans="1:10">
      <c r="A171" s="4" t="s">
        <v>253</v>
      </c>
      <c r="B171" s="4" t="s">
        <v>25</v>
      </c>
      <c r="C171" s="4" t="s">
        <v>23</v>
      </c>
      <c r="D171" s="4" t="s">
        <v>103</v>
      </c>
      <c r="E171" s="8">
        <v>0.375</v>
      </c>
      <c r="F171" s="3">
        <v>1.12</v>
      </c>
      <c r="G171" s="3">
        <v>3.37</v>
      </c>
      <c r="H171" s="8">
        <v>0</v>
      </c>
      <c r="I171" s="10">
        <v>0</v>
      </c>
      <c r="J171" s="3">
        <v>0</v>
      </c>
    </row>
    <row r="172" s="4" customFormat="1" spans="1:10">
      <c r="A172" s="4" t="s">
        <v>194</v>
      </c>
      <c r="B172" s="4" t="s">
        <v>118</v>
      </c>
      <c r="C172" s="4" t="s">
        <v>26</v>
      </c>
      <c r="D172" s="4" t="s">
        <v>119</v>
      </c>
      <c r="E172" s="8">
        <v>0.0769</v>
      </c>
      <c r="F172" s="3">
        <v>3.34</v>
      </c>
      <c r="G172" s="3">
        <v>3.34</v>
      </c>
      <c r="H172" s="8">
        <v>0</v>
      </c>
      <c r="I172" s="10">
        <v>0</v>
      </c>
      <c r="J172" s="3">
        <v>0</v>
      </c>
    </row>
    <row r="173" s="4" customFormat="1" spans="1:10">
      <c r="A173" s="4" t="s">
        <v>254</v>
      </c>
      <c r="B173" s="4" t="s">
        <v>25</v>
      </c>
      <c r="C173" s="4" t="s">
        <v>23</v>
      </c>
      <c r="D173" s="4" t="s">
        <v>103</v>
      </c>
      <c r="E173" s="8">
        <v>0.5</v>
      </c>
      <c r="F173" s="3">
        <v>3.33</v>
      </c>
      <c r="G173" s="3">
        <v>3.33</v>
      </c>
      <c r="H173" s="8">
        <v>0</v>
      </c>
      <c r="I173" s="10">
        <v>0</v>
      </c>
      <c r="J173" s="3">
        <v>0</v>
      </c>
    </row>
    <row r="174" s="4" customFormat="1" spans="1:10">
      <c r="A174" s="4" t="s">
        <v>255</v>
      </c>
      <c r="B174" s="4" t="s">
        <v>25</v>
      </c>
      <c r="C174" s="4" t="s">
        <v>23</v>
      </c>
      <c r="D174" s="4" t="s">
        <v>103</v>
      </c>
      <c r="E174" s="8">
        <v>0.1667</v>
      </c>
      <c r="F174" s="3">
        <v>3.26</v>
      </c>
      <c r="G174" s="3">
        <v>3.26</v>
      </c>
      <c r="H174" s="8">
        <v>0</v>
      </c>
      <c r="I174" s="10">
        <v>0</v>
      </c>
      <c r="J174" s="3">
        <v>0</v>
      </c>
    </row>
    <row r="175" s="4" customFormat="1" spans="1:10">
      <c r="A175" s="4" t="s">
        <v>172</v>
      </c>
      <c r="B175" s="4" t="s">
        <v>126</v>
      </c>
      <c r="C175" s="4" t="s">
        <v>26</v>
      </c>
      <c r="D175" s="4" t="s">
        <v>119</v>
      </c>
      <c r="E175" s="8">
        <v>0.1667</v>
      </c>
      <c r="F175" s="3">
        <v>3.21</v>
      </c>
      <c r="G175" s="3">
        <v>3.21</v>
      </c>
      <c r="H175" s="8">
        <v>0</v>
      </c>
      <c r="I175" s="10">
        <v>0</v>
      </c>
      <c r="J175" s="3">
        <v>0</v>
      </c>
    </row>
    <row r="176" s="4" customFormat="1" spans="1:10">
      <c r="A176" s="4" t="s">
        <v>256</v>
      </c>
      <c r="B176" s="4" t="s">
        <v>25</v>
      </c>
      <c r="C176" s="4" t="s">
        <v>23</v>
      </c>
      <c r="D176" s="4" t="s">
        <v>103</v>
      </c>
      <c r="E176" s="8">
        <v>0.5</v>
      </c>
      <c r="F176" s="3">
        <v>1.06</v>
      </c>
      <c r="G176" s="3">
        <v>3.19</v>
      </c>
      <c r="H176" s="8">
        <v>0</v>
      </c>
      <c r="I176" s="10">
        <v>0</v>
      </c>
      <c r="J176" s="3">
        <v>0</v>
      </c>
    </row>
    <row r="177" s="4" customFormat="1" spans="1:10">
      <c r="A177" s="4" t="s">
        <v>257</v>
      </c>
      <c r="B177" s="4" t="s">
        <v>25</v>
      </c>
      <c r="C177" s="4" t="s">
        <v>23</v>
      </c>
      <c r="D177" s="4" t="s">
        <v>103</v>
      </c>
      <c r="E177" s="8">
        <v>0.0128</v>
      </c>
      <c r="F177" s="3">
        <v>1.58</v>
      </c>
      <c r="G177" s="3">
        <v>3.16</v>
      </c>
      <c r="H177" s="8">
        <v>0</v>
      </c>
      <c r="I177" s="10">
        <v>0</v>
      </c>
      <c r="J177" s="3">
        <v>0</v>
      </c>
    </row>
    <row r="178" s="4" customFormat="1" spans="1:10">
      <c r="A178" s="4" t="s">
        <v>258</v>
      </c>
      <c r="B178" s="4" t="s">
        <v>25</v>
      </c>
      <c r="C178" s="4" t="s">
        <v>23</v>
      </c>
      <c r="D178" s="4" t="s">
        <v>103</v>
      </c>
      <c r="E178" s="8">
        <v>0.25</v>
      </c>
      <c r="F178" s="3">
        <v>3.15</v>
      </c>
      <c r="G178" s="3">
        <v>3.15</v>
      </c>
      <c r="H178" s="8">
        <v>0</v>
      </c>
      <c r="I178" s="10">
        <v>0</v>
      </c>
      <c r="J178" s="3">
        <v>0</v>
      </c>
    </row>
    <row r="179" s="4" customFormat="1" spans="1:10">
      <c r="A179" s="4" t="s">
        <v>259</v>
      </c>
      <c r="B179" s="4" t="s">
        <v>118</v>
      </c>
      <c r="C179" s="4" t="s">
        <v>26</v>
      </c>
      <c r="D179" s="4" t="s">
        <v>110</v>
      </c>
      <c r="E179" s="8">
        <v>0.5</v>
      </c>
      <c r="F179" s="3">
        <v>3.15</v>
      </c>
      <c r="G179" s="3">
        <v>3.15</v>
      </c>
      <c r="H179" s="8">
        <v>0</v>
      </c>
      <c r="I179" s="10">
        <v>0</v>
      </c>
      <c r="J179" s="3">
        <v>0</v>
      </c>
    </row>
    <row r="180" s="4" customFormat="1" spans="1:10">
      <c r="A180" s="4" t="s">
        <v>260</v>
      </c>
      <c r="B180" s="4" t="s">
        <v>25</v>
      </c>
      <c r="C180" s="4" t="s">
        <v>23</v>
      </c>
      <c r="D180" s="4" t="s">
        <v>103</v>
      </c>
      <c r="E180" s="8">
        <v>0.1667</v>
      </c>
      <c r="F180" s="3">
        <v>3.14</v>
      </c>
      <c r="G180" s="3">
        <v>3.14</v>
      </c>
      <c r="H180" s="8">
        <v>0</v>
      </c>
      <c r="I180" s="10">
        <v>0</v>
      </c>
      <c r="J180" s="3">
        <v>0</v>
      </c>
    </row>
    <row r="181" s="4" customFormat="1" spans="1:10">
      <c r="A181" s="4" t="s">
        <v>261</v>
      </c>
      <c r="B181" s="4" t="s">
        <v>25</v>
      </c>
      <c r="C181" s="4" t="s">
        <v>23</v>
      </c>
      <c r="D181" s="4" t="s">
        <v>103</v>
      </c>
      <c r="E181" s="8">
        <v>1</v>
      </c>
      <c r="F181" s="3">
        <v>3.13</v>
      </c>
      <c r="G181" s="3">
        <v>3.13</v>
      </c>
      <c r="H181" s="8">
        <v>0</v>
      </c>
      <c r="I181" s="10">
        <v>0</v>
      </c>
      <c r="J181" s="3">
        <v>0</v>
      </c>
    </row>
    <row r="182" s="4" customFormat="1" spans="1:10">
      <c r="A182" s="4" t="s">
        <v>262</v>
      </c>
      <c r="B182" s="4" t="s">
        <v>118</v>
      </c>
      <c r="C182" s="4" t="s">
        <v>26</v>
      </c>
      <c r="D182" s="4" t="s">
        <v>110</v>
      </c>
      <c r="E182" s="8">
        <v>0.5</v>
      </c>
      <c r="F182" s="3">
        <v>3.13</v>
      </c>
      <c r="G182" s="3">
        <v>3.13</v>
      </c>
      <c r="H182" s="8">
        <v>0</v>
      </c>
      <c r="I182" s="10">
        <v>0</v>
      </c>
      <c r="J182" s="3">
        <v>0</v>
      </c>
    </row>
    <row r="183" s="4" customFormat="1" spans="1:10">
      <c r="A183" s="4" t="s">
        <v>263</v>
      </c>
      <c r="B183" s="4" t="s">
        <v>25</v>
      </c>
      <c r="C183" s="4" t="s">
        <v>23</v>
      </c>
      <c r="D183" s="4" t="s">
        <v>103</v>
      </c>
      <c r="E183" s="8">
        <v>0.3333</v>
      </c>
      <c r="F183" s="3">
        <v>3.11</v>
      </c>
      <c r="G183" s="3">
        <v>3.11</v>
      </c>
      <c r="H183" s="8">
        <v>0</v>
      </c>
      <c r="I183" s="10">
        <v>0</v>
      </c>
      <c r="J183" s="3">
        <v>0</v>
      </c>
    </row>
    <row r="184" s="4" customFormat="1" spans="1:10">
      <c r="A184" s="4" t="s">
        <v>264</v>
      </c>
      <c r="B184" s="4" t="s">
        <v>25</v>
      </c>
      <c r="C184" s="4" t="s">
        <v>23</v>
      </c>
      <c r="D184" s="4" t="s">
        <v>103</v>
      </c>
      <c r="E184" s="8">
        <v>0.2</v>
      </c>
      <c r="F184" s="3">
        <v>1.54</v>
      </c>
      <c r="G184" s="3">
        <v>3.09</v>
      </c>
      <c r="H184" s="8">
        <v>0</v>
      </c>
      <c r="I184" s="10">
        <v>0</v>
      </c>
      <c r="J184" s="3">
        <v>0</v>
      </c>
    </row>
    <row r="185" s="4" customFormat="1" spans="1:10">
      <c r="A185" s="4" t="s">
        <v>265</v>
      </c>
      <c r="B185" s="4" t="s">
        <v>25</v>
      </c>
      <c r="C185" s="4" t="s">
        <v>23</v>
      </c>
      <c r="D185" s="4" t="s">
        <v>103</v>
      </c>
      <c r="E185" s="8">
        <v>0.5</v>
      </c>
      <c r="F185" s="3">
        <v>3.09</v>
      </c>
      <c r="G185" s="3">
        <v>3.09</v>
      </c>
      <c r="H185" s="8">
        <v>0</v>
      </c>
      <c r="I185" s="10">
        <v>0</v>
      </c>
      <c r="J185" s="3">
        <v>0</v>
      </c>
    </row>
    <row r="186" s="4" customFormat="1" spans="1:10">
      <c r="A186" s="4" t="s">
        <v>266</v>
      </c>
      <c r="B186" s="4" t="s">
        <v>25</v>
      </c>
      <c r="C186" s="4" t="s">
        <v>23</v>
      </c>
      <c r="D186" t="s">
        <v>103</v>
      </c>
      <c r="E186" s="8">
        <v>0.0267</v>
      </c>
      <c r="F186" s="3">
        <v>1.53</v>
      </c>
      <c r="G186" s="3">
        <v>3.07</v>
      </c>
      <c r="H186" s="8">
        <v>0</v>
      </c>
      <c r="I186" s="10">
        <v>0</v>
      </c>
      <c r="J186" s="3">
        <v>0</v>
      </c>
    </row>
    <row r="187" s="4" customFormat="1" spans="1:10">
      <c r="A187" s="4" t="s">
        <v>267</v>
      </c>
      <c r="B187" s="4" t="s">
        <v>135</v>
      </c>
      <c r="C187" s="4" t="s">
        <v>26</v>
      </c>
      <c r="D187" s="4" t="s">
        <v>110</v>
      </c>
      <c r="E187" s="8">
        <v>0.3333</v>
      </c>
      <c r="F187" s="3">
        <v>3.07</v>
      </c>
      <c r="G187" s="3">
        <v>3.07</v>
      </c>
      <c r="H187" s="8">
        <v>0</v>
      </c>
      <c r="I187" s="10">
        <v>0</v>
      </c>
      <c r="J187" s="3">
        <v>0</v>
      </c>
    </row>
    <row r="188" s="4" customFormat="1" spans="1:10">
      <c r="A188" s="4" t="s">
        <v>268</v>
      </c>
      <c r="B188" s="4" t="s">
        <v>25</v>
      </c>
      <c r="C188" s="4" t="s">
        <v>23</v>
      </c>
      <c r="D188" s="4" t="s">
        <v>103</v>
      </c>
      <c r="E188" s="8">
        <v>0.5</v>
      </c>
      <c r="F188" s="3">
        <v>3.03</v>
      </c>
      <c r="G188" s="3">
        <v>3.03</v>
      </c>
      <c r="H188" s="8">
        <v>0</v>
      </c>
      <c r="I188" s="10">
        <v>0</v>
      </c>
      <c r="J188" s="3">
        <v>0</v>
      </c>
    </row>
    <row r="189" s="4" customFormat="1" spans="1:10">
      <c r="A189" s="4" t="s">
        <v>269</v>
      </c>
      <c r="B189" s="4" t="s">
        <v>25</v>
      </c>
      <c r="C189" s="4" t="s">
        <v>23</v>
      </c>
      <c r="D189" s="4" t="s">
        <v>103</v>
      </c>
      <c r="E189" s="8">
        <v>1</v>
      </c>
      <c r="F189" s="3">
        <v>3</v>
      </c>
      <c r="G189" s="3">
        <v>3</v>
      </c>
      <c r="H189" s="8">
        <v>0</v>
      </c>
      <c r="I189" s="10">
        <v>0</v>
      </c>
      <c r="J189" s="3">
        <v>0</v>
      </c>
    </row>
    <row r="190" s="4" customFormat="1" spans="1:10">
      <c r="A190" s="4" t="s">
        <v>270</v>
      </c>
      <c r="B190" s="4" t="s">
        <v>25</v>
      </c>
      <c r="C190" s="4" t="s">
        <v>23</v>
      </c>
      <c r="D190" s="4" t="s">
        <v>103</v>
      </c>
      <c r="E190" s="8">
        <v>0.1111</v>
      </c>
      <c r="F190" s="3">
        <v>2.93</v>
      </c>
      <c r="G190" s="3">
        <v>2.93</v>
      </c>
      <c r="H190" s="8">
        <v>0</v>
      </c>
      <c r="I190" s="10">
        <v>0</v>
      </c>
      <c r="J190" s="3">
        <v>0</v>
      </c>
    </row>
    <row r="191" s="4" customFormat="1" spans="1:10">
      <c r="A191" s="4" t="s">
        <v>271</v>
      </c>
      <c r="B191" s="4" t="s">
        <v>25</v>
      </c>
      <c r="C191" s="4" t="s">
        <v>23</v>
      </c>
      <c r="D191" s="4" t="s">
        <v>103</v>
      </c>
      <c r="E191" s="8">
        <v>0.5</v>
      </c>
      <c r="F191" s="3">
        <v>2.9</v>
      </c>
      <c r="G191" s="3">
        <v>2.9</v>
      </c>
      <c r="H191" s="8">
        <v>0</v>
      </c>
      <c r="I191" s="10">
        <v>0</v>
      </c>
      <c r="J191" s="3">
        <v>0</v>
      </c>
    </row>
    <row r="192" s="4" customFormat="1" spans="1:10">
      <c r="A192" s="4" t="s">
        <v>108</v>
      </c>
      <c r="B192" s="4" t="s">
        <v>25</v>
      </c>
      <c r="C192" s="4" t="s">
        <v>28</v>
      </c>
      <c r="D192" s="4" t="s">
        <v>103</v>
      </c>
      <c r="E192" s="8">
        <v>0.5</v>
      </c>
      <c r="F192" s="3">
        <v>2.83</v>
      </c>
      <c r="G192" s="3">
        <v>2.83</v>
      </c>
      <c r="H192" s="8">
        <v>0</v>
      </c>
      <c r="I192" s="10">
        <v>0</v>
      </c>
      <c r="J192" s="3">
        <v>0</v>
      </c>
    </row>
    <row r="193" s="4" customFormat="1" spans="1:10">
      <c r="A193" s="4" t="s">
        <v>272</v>
      </c>
      <c r="B193" s="4" t="s">
        <v>25</v>
      </c>
      <c r="C193" s="4" t="s">
        <v>23</v>
      </c>
      <c r="D193" s="4" t="s">
        <v>103</v>
      </c>
      <c r="E193" s="8">
        <v>0.3333</v>
      </c>
      <c r="F193" s="3">
        <v>2.82</v>
      </c>
      <c r="G193" s="3">
        <v>2.82</v>
      </c>
      <c r="H193" s="8">
        <v>0</v>
      </c>
      <c r="I193" s="10">
        <v>0</v>
      </c>
      <c r="J193" s="3">
        <v>0</v>
      </c>
    </row>
    <row r="194" s="4" customFormat="1" spans="1:10">
      <c r="A194" s="4" t="s">
        <v>102</v>
      </c>
      <c r="B194" s="4" t="s">
        <v>118</v>
      </c>
      <c r="C194" s="4" t="s">
        <v>26</v>
      </c>
      <c r="D194" s="4" t="s">
        <v>110</v>
      </c>
      <c r="E194" s="8">
        <v>0.1667</v>
      </c>
      <c r="F194" s="3">
        <v>2.79</v>
      </c>
      <c r="G194" s="3">
        <v>2.79</v>
      </c>
      <c r="H194" s="8">
        <v>0</v>
      </c>
      <c r="I194" s="10">
        <v>0</v>
      </c>
      <c r="J194" s="3">
        <v>0</v>
      </c>
    </row>
    <row r="195" s="4" customFormat="1" spans="1:10">
      <c r="A195" s="4" t="s">
        <v>273</v>
      </c>
      <c r="B195" s="4" t="s">
        <v>25</v>
      </c>
      <c r="C195" s="4" t="s">
        <v>23</v>
      </c>
      <c r="D195" t="s">
        <v>103</v>
      </c>
      <c r="E195" s="8">
        <v>0.5</v>
      </c>
      <c r="F195" s="3">
        <v>2.78</v>
      </c>
      <c r="G195" s="3">
        <v>2.78</v>
      </c>
      <c r="H195" s="8">
        <v>0</v>
      </c>
      <c r="I195" s="10">
        <v>0</v>
      </c>
      <c r="J195" s="3">
        <v>0</v>
      </c>
    </row>
    <row r="196" s="4" customFormat="1" spans="1:10">
      <c r="A196" s="4" t="s">
        <v>274</v>
      </c>
      <c r="B196" s="4" t="s">
        <v>118</v>
      </c>
      <c r="C196" s="4" t="s">
        <v>26</v>
      </c>
      <c r="D196" s="4" t="s">
        <v>119</v>
      </c>
      <c r="E196" s="8">
        <v>0.5</v>
      </c>
      <c r="F196" s="3">
        <v>2.78</v>
      </c>
      <c r="G196" s="3">
        <v>2.78</v>
      </c>
      <c r="H196" s="8">
        <v>0</v>
      </c>
      <c r="I196" s="10">
        <v>0</v>
      </c>
      <c r="J196" s="3">
        <v>0</v>
      </c>
    </row>
    <row r="197" s="4" customFormat="1" spans="1:10">
      <c r="A197" s="4" t="s">
        <v>275</v>
      </c>
      <c r="B197" s="4" t="s">
        <v>25</v>
      </c>
      <c r="C197" s="4" t="s">
        <v>23</v>
      </c>
      <c r="D197" s="4" t="s">
        <v>103</v>
      </c>
      <c r="E197" s="8">
        <v>1</v>
      </c>
      <c r="F197" s="3">
        <v>2.77</v>
      </c>
      <c r="G197" s="3">
        <v>2.77</v>
      </c>
      <c r="H197" s="8">
        <v>0</v>
      </c>
      <c r="I197" s="10">
        <v>0</v>
      </c>
      <c r="J197" s="3">
        <v>0</v>
      </c>
    </row>
    <row r="198" s="4" customFormat="1" spans="1:10">
      <c r="A198" s="4" t="s">
        <v>276</v>
      </c>
      <c r="B198" s="4" t="s">
        <v>25</v>
      </c>
      <c r="C198" s="4" t="s">
        <v>23</v>
      </c>
      <c r="D198" s="4" t="s">
        <v>103</v>
      </c>
      <c r="E198" s="8">
        <v>0.125</v>
      </c>
      <c r="F198" s="3">
        <v>2.75</v>
      </c>
      <c r="G198" s="3">
        <v>2.75</v>
      </c>
      <c r="H198" s="8">
        <v>0</v>
      </c>
      <c r="I198" s="10">
        <v>0</v>
      </c>
      <c r="J198" s="3">
        <v>0</v>
      </c>
    </row>
    <row r="199" s="4" customFormat="1" spans="1:10">
      <c r="A199" s="4" t="s">
        <v>277</v>
      </c>
      <c r="B199" s="4" t="s">
        <v>109</v>
      </c>
      <c r="C199" s="4" t="s">
        <v>26</v>
      </c>
      <c r="D199" s="4" t="s">
        <v>119</v>
      </c>
      <c r="E199" s="8">
        <v>0.5</v>
      </c>
      <c r="F199" s="3">
        <v>2.74</v>
      </c>
      <c r="G199" s="3">
        <v>2.74</v>
      </c>
      <c r="H199" s="8">
        <v>0</v>
      </c>
      <c r="I199" s="10">
        <v>0</v>
      </c>
      <c r="J199" s="3">
        <v>0</v>
      </c>
    </row>
    <row r="200" s="4" customFormat="1" spans="1:10">
      <c r="A200" s="4" t="s">
        <v>278</v>
      </c>
      <c r="B200" s="4" t="s">
        <v>118</v>
      </c>
      <c r="C200" s="4" t="s">
        <v>26</v>
      </c>
      <c r="D200" s="4" t="s">
        <v>110</v>
      </c>
      <c r="E200" s="8">
        <v>1</v>
      </c>
      <c r="F200" s="3">
        <v>2.73</v>
      </c>
      <c r="G200" s="3">
        <v>2.73</v>
      </c>
      <c r="H200" s="8">
        <v>0</v>
      </c>
      <c r="I200" s="10">
        <v>0</v>
      </c>
      <c r="J200" s="3">
        <v>0</v>
      </c>
    </row>
    <row r="201" s="4" customFormat="1" spans="1:10">
      <c r="A201" s="4" t="s">
        <v>279</v>
      </c>
      <c r="B201" s="4" t="s">
        <v>118</v>
      </c>
      <c r="C201" s="4" t="s">
        <v>26</v>
      </c>
      <c r="D201" s="4" t="s">
        <v>110</v>
      </c>
      <c r="E201" s="8">
        <v>0.3333</v>
      </c>
      <c r="F201" s="3">
        <v>2.71</v>
      </c>
      <c r="G201" s="3">
        <v>2.71</v>
      </c>
      <c r="H201" s="8">
        <v>0</v>
      </c>
      <c r="I201" s="10">
        <v>0</v>
      </c>
      <c r="J201" s="3">
        <v>0</v>
      </c>
    </row>
    <row r="202" s="4" customFormat="1" spans="1:10">
      <c r="A202" s="4" t="s">
        <v>280</v>
      </c>
      <c r="B202" s="4" t="s">
        <v>25</v>
      </c>
      <c r="C202" s="4" t="s">
        <v>23</v>
      </c>
      <c r="D202" s="4" t="s">
        <v>103</v>
      </c>
      <c r="E202" s="8">
        <v>1</v>
      </c>
      <c r="F202" s="3">
        <v>2.67</v>
      </c>
      <c r="G202" s="3">
        <v>2.67</v>
      </c>
      <c r="H202" s="8">
        <v>0</v>
      </c>
      <c r="I202" s="10">
        <v>0</v>
      </c>
      <c r="J202" s="3">
        <v>0</v>
      </c>
    </row>
    <row r="203" s="4" customFormat="1" spans="1:10">
      <c r="A203" s="4" t="s">
        <v>281</v>
      </c>
      <c r="B203" s="4" t="s">
        <v>25</v>
      </c>
      <c r="C203" s="4" t="s">
        <v>23</v>
      </c>
      <c r="D203" s="4" t="s">
        <v>103</v>
      </c>
      <c r="E203" s="8">
        <v>1</v>
      </c>
      <c r="F203" s="3">
        <v>2.66</v>
      </c>
      <c r="G203" s="3">
        <v>2.66</v>
      </c>
      <c r="H203" s="8">
        <v>0</v>
      </c>
      <c r="I203" s="10">
        <v>0</v>
      </c>
      <c r="J203" s="3">
        <v>0</v>
      </c>
    </row>
    <row r="204" s="4" customFormat="1" spans="1:10">
      <c r="A204" s="4" t="s">
        <v>282</v>
      </c>
      <c r="B204" s="4" t="s">
        <v>25</v>
      </c>
      <c r="C204" s="4" t="s">
        <v>23</v>
      </c>
      <c r="D204" t="s">
        <v>103</v>
      </c>
      <c r="E204" s="8">
        <v>1</v>
      </c>
      <c r="F204" s="3">
        <v>2.65</v>
      </c>
      <c r="G204" s="3">
        <v>2.65</v>
      </c>
      <c r="H204" s="8">
        <v>0</v>
      </c>
      <c r="I204" s="10">
        <v>0</v>
      </c>
      <c r="J204" s="3">
        <v>0</v>
      </c>
    </row>
    <row r="205" s="4" customFormat="1" spans="1:10">
      <c r="A205" s="4" t="s">
        <v>283</v>
      </c>
      <c r="B205" s="4" t="s">
        <v>118</v>
      </c>
      <c r="C205" s="4" t="s">
        <v>26</v>
      </c>
      <c r="D205" t="s">
        <v>192</v>
      </c>
      <c r="E205" s="8">
        <v>0.5</v>
      </c>
      <c r="F205" s="3">
        <v>2.65</v>
      </c>
      <c r="G205" s="3">
        <v>2.65</v>
      </c>
      <c r="H205" s="8">
        <v>0</v>
      </c>
      <c r="I205" s="10">
        <v>0</v>
      </c>
      <c r="J205" s="3">
        <v>0</v>
      </c>
    </row>
    <row r="206" s="4" customFormat="1" spans="1:10">
      <c r="A206" s="4" t="s">
        <v>284</v>
      </c>
      <c r="B206" s="4" t="s">
        <v>25</v>
      </c>
      <c r="C206" s="4" t="s">
        <v>23</v>
      </c>
      <c r="D206" t="s">
        <v>103</v>
      </c>
      <c r="E206" s="8">
        <v>0.1538</v>
      </c>
      <c r="F206" s="3">
        <v>1.32</v>
      </c>
      <c r="G206" s="3">
        <v>2.65</v>
      </c>
      <c r="H206" s="8">
        <v>0</v>
      </c>
      <c r="I206" s="10">
        <v>0</v>
      </c>
      <c r="J206" s="3">
        <v>0</v>
      </c>
    </row>
    <row r="207" s="4" customFormat="1" spans="1:10">
      <c r="A207" s="4" t="s">
        <v>285</v>
      </c>
      <c r="B207" s="4" t="s">
        <v>118</v>
      </c>
      <c r="C207" s="4" t="s">
        <v>26</v>
      </c>
      <c r="D207" s="4" t="s">
        <v>119</v>
      </c>
      <c r="E207" s="8">
        <v>0.5</v>
      </c>
      <c r="F207" s="3">
        <v>2.63</v>
      </c>
      <c r="G207" s="3">
        <v>2.63</v>
      </c>
      <c r="H207" s="8">
        <v>0</v>
      </c>
      <c r="I207" s="10">
        <v>0</v>
      </c>
      <c r="J207" s="3">
        <v>0</v>
      </c>
    </row>
    <row r="208" s="4" customFormat="1" spans="1:10">
      <c r="A208" s="4" t="s">
        <v>105</v>
      </c>
      <c r="B208" s="4" t="s">
        <v>109</v>
      </c>
      <c r="C208" s="4" t="s">
        <v>26</v>
      </c>
      <c r="D208" s="4" t="s">
        <v>119</v>
      </c>
      <c r="E208" s="8">
        <v>0.0313</v>
      </c>
      <c r="F208" s="3">
        <v>1.31</v>
      </c>
      <c r="G208" s="3">
        <v>2.63</v>
      </c>
      <c r="H208" s="8">
        <v>0</v>
      </c>
      <c r="I208" s="10">
        <v>0</v>
      </c>
      <c r="J208" s="3">
        <v>0</v>
      </c>
    </row>
    <row r="209" s="4" customFormat="1" spans="1:10">
      <c r="A209" s="4" t="s">
        <v>286</v>
      </c>
      <c r="B209" s="4" t="s">
        <v>25</v>
      </c>
      <c r="C209" s="4" t="s">
        <v>23</v>
      </c>
      <c r="D209" s="4" t="s">
        <v>103</v>
      </c>
      <c r="E209" s="8">
        <v>0.2</v>
      </c>
      <c r="F209" s="3">
        <v>2.6</v>
      </c>
      <c r="G209" s="3">
        <v>2.6</v>
      </c>
      <c r="H209" s="8">
        <v>0</v>
      </c>
      <c r="I209" s="10">
        <v>0</v>
      </c>
      <c r="J209" s="3">
        <v>0</v>
      </c>
    </row>
    <row r="210" s="4" customFormat="1" spans="1:10">
      <c r="A210" s="4" t="s">
        <v>256</v>
      </c>
      <c r="B210" s="4" t="s">
        <v>118</v>
      </c>
      <c r="C210" s="4" t="s">
        <v>26</v>
      </c>
      <c r="D210" s="4" t="s">
        <v>119</v>
      </c>
      <c r="E210" s="8">
        <v>0.5</v>
      </c>
      <c r="F210" s="3">
        <v>2.59</v>
      </c>
      <c r="G210" s="3">
        <v>2.59</v>
      </c>
      <c r="H210" s="8">
        <v>0</v>
      </c>
      <c r="I210" s="10">
        <v>0</v>
      </c>
      <c r="J210" s="3">
        <v>0</v>
      </c>
    </row>
    <row r="211" s="4" customFormat="1" spans="1:10">
      <c r="A211" s="4" t="s">
        <v>147</v>
      </c>
      <c r="B211" s="4" t="s">
        <v>109</v>
      </c>
      <c r="C211" s="4" t="s">
        <v>26</v>
      </c>
      <c r="D211" s="4" t="s">
        <v>110</v>
      </c>
      <c r="E211" s="8">
        <v>0.25</v>
      </c>
      <c r="F211" s="3">
        <v>2.59</v>
      </c>
      <c r="G211" s="3">
        <v>2.59</v>
      </c>
      <c r="H211" s="8">
        <v>0</v>
      </c>
      <c r="I211" s="10">
        <v>0</v>
      </c>
      <c r="J211" s="3">
        <v>0</v>
      </c>
    </row>
    <row r="212" s="4" customFormat="1" spans="1:10">
      <c r="A212" s="4" t="s">
        <v>287</v>
      </c>
      <c r="B212" s="4" t="s">
        <v>118</v>
      </c>
      <c r="C212" s="4" t="s">
        <v>26</v>
      </c>
      <c r="D212" s="4" t="s">
        <v>119</v>
      </c>
      <c r="E212" s="8">
        <v>0.5</v>
      </c>
      <c r="F212" s="3">
        <v>2.57</v>
      </c>
      <c r="G212" s="3">
        <v>2.57</v>
      </c>
      <c r="H212" s="8">
        <v>0</v>
      </c>
      <c r="I212" s="10">
        <v>0</v>
      </c>
      <c r="J212" s="3">
        <v>0</v>
      </c>
    </row>
    <row r="213" s="4" customFormat="1" spans="1:10">
      <c r="A213" s="4" t="s">
        <v>288</v>
      </c>
      <c r="B213" s="4" t="s">
        <v>25</v>
      </c>
      <c r="C213" s="4" t="s">
        <v>23</v>
      </c>
      <c r="D213" s="4" t="s">
        <v>103</v>
      </c>
      <c r="E213" s="8">
        <v>1</v>
      </c>
      <c r="F213" s="3">
        <v>2.54</v>
      </c>
      <c r="G213" s="3">
        <v>2.54</v>
      </c>
      <c r="H213" s="8">
        <v>0</v>
      </c>
      <c r="I213" s="10">
        <v>0</v>
      </c>
      <c r="J213" s="3">
        <v>0</v>
      </c>
    </row>
    <row r="214" s="4" customFormat="1" spans="1:10">
      <c r="A214" s="4" t="s">
        <v>289</v>
      </c>
      <c r="B214" s="4" t="s">
        <v>118</v>
      </c>
      <c r="C214" s="4" t="s">
        <v>26</v>
      </c>
      <c r="D214" s="4" t="s">
        <v>110</v>
      </c>
      <c r="E214" s="8">
        <v>0.5</v>
      </c>
      <c r="F214" s="3">
        <v>2.54</v>
      </c>
      <c r="G214" s="3">
        <v>2.54</v>
      </c>
      <c r="H214" s="8">
        <v>0</v>
      </c>
      <c r="I214" s="10">
        <v>0</v>
      </c>
      <c r="J214" s="3">
        <v>0</v>
      </c>
    </row>
    <row r="215" s="4" customFormat="1" spans="1:10">
      <c r="A215" s="4" t="s">
        <v>290</v>
      </c>
      <c r="B215" s="4" t="s">
        <v>118</v>
      </c>
      <c r="C215" s="4" t="s">
        <v>26</v>
      </c>
      <c r="D215" s="4" t="s">
        <v>110</v>
      </c>
      <c r="E215" s="8">
        <v>0.5</v>
      </c>
      <c r="F215" s="3">
        <v>2.51</v>
      </c>
      <c r="G215" s="3">
        <v>2.51</v>
      </c>
      <c r="H215" s="8">
        <v>0</v>
      </c>
      <c r="I215" s="10">
        <v>0</v>
      </c>
      <c r="J215" s="3">
        <v>0</v>
      </c>
    </row>
    <row r="216" s="4" customFormat="1" spans="1:10">
      <c r="A216" s="4" t="s">
        <v>291</v>
      </c>
      <c r="B216" s="4" t="s">
        <v>25</v>
      </c>
      <c r="C216" s="4" t="s">
        <v>23</v>
      </c>
      <c r="D216" s="4" t="s">
        <v>103</v>
      </c>
      <c r="E216" s="8">
        <v>1</v>
      </c>
      <c r="F216" s="3">
        <v>2.51</v>
      </c>
      <c r="G216" s="3">
        <v>2.51</v>
      </c>
      <c r="H216" s="8">
        <v>0</v>
      </c>
      <c r="I216" s="10">
        <v>0</v>
      </c>
      <c r="J216" s="3">
        <v>0</v>
      </c>
    </row>
    <row r="217" s="4" customFormat="1" spans="1:10">
      <c r="A217" s="4" t="s">
        <v>292</v>
      </c>
      <c r="B217" s="4" t="s">
        <v>118</v>
      </c>
      <c r="C217" s="4" t="s">
        <v>26</v>
      </c>
      <c r="D217" s="4" t="s">
        <v>110</v>
      </c>
      <c r="E217" s="8">
        <v>0.25</v>
      </c>
      <c r="F217" s="3">
        <v>2.5</v>
      </c>
      <c r="G217" s="3">
        <v>2.5</v>
      </c>
      <c r="H217" s="8">
        <v>0</v>
      </c>
      <c r="I217" s="10">
        <v>0</v>
      </c>
      <c r="J217" s="3">
        <v>0</v>
      </c>
    </row>
    <row r="218" s="4" customFormat="1" spans="1:10">
      <c r="A218" s="4" t="s">
        <v>293</v>
      </c>
      <c r="B218" s="4" t="s">
        <v>118</v>
      </c>
      <c r="C218" s="4" t="s">
        <v>26</v>
      </c>
      <c r="D218" s="4" t="s">
        <v>110</v>
      </c>
      <c r="E218" s="8">
        <v>0.5</v>
      </c>
      <c r="F218" s="3">
        <v>2.45</v>
      </c>
      <c r="G218" s="3">
        <v>2.45</v>
      </c>
      <c r="H218" s="8">
        <v>0</v>
      </c>
      <c r="I218" s="10">
        <v>0</v>
      </c>
      <c r="J218" s="3">
        <v>0</v>
      </c>
    </row>
    <row r="219" s="4" customFormat="1" spans="1:10">
      <c r="A219" s="4" t="s">
        <v>294</v>
      </c>
      <c r="B219" s="4" t="s">
        <v>118</v>
      </c>
      <c r="C219" s="4" t="s">
        <v>26</v>
      </c>
      <c r="D219" s="4" t="s">
        <v>110</v>
      </c>
      <c r="E219" s="8">
        <v>0.3333</v>
      </c>
      <c r="F219" s="3">
        <v>2.42</v>
      </c>
      <c r="G219" s="3">
        <v>2.42</v>
      </c>
      <c r="H219" s="8">
        <v>0</v>
      </c>
      <c r="I219" s="10">
        <v>0</v>
      </c>
      <c r="J219" s="3">
        <v>0</v>
      </c>
    </row>
    <row r="220" s="4" customFormat="1" spans="1:10">
      <c r="A220" s="4" t="s">
        <v>295</v>
      </c>
      <c r="B220" s="4" t="s">
        <v>25</v>
      </c>
      <c r="C220" s="4" t="s">
        <v>23</v>
      </c>
      <c r="D220" s="4" t="s">
        <v>103</v>
      </c>
      <c r="E220" s="8">
        <v>1</v>
      </c>
      <c r="F220" s="3">
        <v>2.4</v>
      </c>
      <c r="G220" s="3">
        <v>2.4</v>
      </c>
      <c r="H220" s="8">
        <v>0</v>
      </c>
      <c r="I220" s="10">
        <v>0</v>
      </c>
      <c r="J220" s="3">
        <v>0</v>
      </c>
    </row>
    <row r="221" s="4" customFormat="1" spans="1:10">
      <c r="A221" s="4" t="s">
        <v>296</v>
      </c>
      <c r="B221" s="4" t="s">
        <v>25</v>
      </c>
      <c r="C221" s="4" t="s">
        <v>23</v>
      </c>
      <c r="D221" s="4" t="s">
        <v>103</v>
      </c>
      <c r="E221" s="8">
        <v>0.25</v>
      </c>
      <c r="F221" s="3">
        <v>2.39</v>
      </c>
      <c r="G221" s="3">
        <v>2.39</v>
      </c>
      <c r="H221" s="8">
        <v>0</v>
      </c>
      <c r="I221" s="10">
        <v>0</v>
      </c>
      <c r="J221" s="3">
        <v>0</v>
      </c>
    </row>
    <row r="222" s="4" customFormat="1" spans="1:10">
      <c r="A222" s="4" t="s">
        <v>297</v>
      </c>
      <c r="B222" s="4" t="s">
        <v>126</v>
      </c>
      <c r="C222" s="4" t="s">
        <v>26</v>
      </c>
      <c r="D222" s="4" t="s">
        <v>119</v>
      </c>
      <c r="E222" s="8">
        <v>1</v>
      </c>
      <c r="F222" s="3">
        <v>2.37</v>
      </c>
      <c r="G222" s="3">
        <v>2.37</v>
      </c>
      <c r="H222" s="8">
        <v>0</v>
      </c>
      <c r="I222" s="10">
        <v>0</v>
      </c>
      <c r="J222" s="3">
        <v>0</v>
      </c>
    </row>
    <row r="223" s="4" customFormat="1" spans="1:10">
      <c r="A223" s="4" t="s">
        <v>298</v>
      </c>
      <c r="B223" s="4" t="s">
        <v>25</v>
      </c>
      <c r="C223" s="4" t="s">
        <v>23</v>
      </c>
      <c r="D223" s="4" t="s">
        <v>103</v>
      </c>
      <c r="E223" s="8">
        <v>1</v>
      </c>
      <c r="F223" s="3">
        <v>2.37</v>
      </c>
      <c r="G223" s="3">
        <v>2.37</v>
      </c>
      <c r="H223" s="8">
        <v>0</v>
      </c>
      <c r="I223" s="10">
        <v>0</v>
      </c>
      <c r="J223" s="3">
        <v>0</v>
      </c>
    </row>
    <row r="224" s="4" customFormat="1" spans="1:10">
      <c r="A224" s="4" t="s">
        <v>299</v>
      </c>
      <c r="B224" s="4" t="s">
        <v>118</v>
      </c>
      <c r="C224" s="4" t="s">
        <v>26</v>
      </c>
      <c r="D224" s="4" t="s">
        <v>119</v>
      </c>
      <c r="E224" s="8">
        <v>0.5</v>
      </c>
      <c r="F224" s="3">
        <v>2.36</v>
      </c>
      <c r="G224" s="3">
        <v>2.36</v>
      </c>
      <c r="H224" s="8">
        <v>0</v>
      </c>
      <c r="I224" s="10">
        <v>0</v>
      </c>
      <c r="J224" s="3">
        <v>0</v>
      </c>
    </row>
    <row r="225" s="4" customFormat="1" spans="1:10">
      <c r="A225" s="4" t="s">
        <v>300</v>
      </c>
      <c r="B225" s="4" t="s">
        <v>25</v>
      </c>
      <c r="C225" s="4" t="s">
        <v>23</v>
      </c>
      <c r="D225" s="4" t="s">
        <v>103</v>
      </c>
      <c r="E225" s="8">
        <v>0.5</v>
      </c>
      <c r="F225" s="3">
        <v>2.35</v>
      </c>
      <c r="G225" s="3">
        <v>2.35</v>
      </c>
      <c r="H225" s="8">
        <v>1</v>
      </c>
      <c r="I225" s="10">
        <v>1</v>
      </c>
      <c r="J225" s="3">
        <v>2.35</v>
      </c>
    </row>
    <row r="226" s="4" customFormat="1" spans="1:10">
      <c r="A226" s="4" t="s">
        <v>301</v>
      </c>
      <c r="B226" s="4" t="s">
        <v>25</v>
      </c>
      <c r="C226" s="4" t="s">
        <v>23</v>
      </c>
      <c r="D226" s="4" t="s">
        <v>103</v>
      </c>
      <c r="E226" s="8">
        <v>0.5</v>
      </c>
      <c r="F226" s="3">
        <v>2.34</v>
      </c>
      <c r="G226" s="3">
        <v>2.34</v>
      </c>
      <c r="H226" s="8">
        <v>0</v>
      </c>
      <c r="I226" s="10">
        <v>0</v>
      </c>
      <c r="J226" s="3">
        <v>0</v>
      </c>
    </row>
    <row r="227" s="4" customFormat="1" spans="1:10">
      <c r="A227" s="4" t="s">
        <v>302</v>
      </c>
      <c r="B227" s="4" t="s">
        <v>118</v>
      </c>
      <c r="C227" s="4" t="s">
        <v>26</v>
      </c>
      <c r="D227" s="4" t="s">
        <v>119</v>
      </c>
      <c r="E227" s="8">
        <v>1</v>
      </c>
      <c r="F227" s="3">
        <v>2.34</v>
      </c>
      <c r="G227" s="3">
        <v>2.34</v>
      </c>
      <c r="H227" s="8">
        <v>0</v>
      </c>
      <c r="I227" s="10">
        <v>0</v>
      </c>
      <c r="J227" s="3">
        <v>0</v>
      </c>
    </row>
    <row r="228" s="4" customFormat="1" spans="1:10">
      <c r="A228" s="4" t="s">
        <v>303</v>
      </c>
      <c r="B228" s="4" t="s">
        <v>25</v>
      </c>
      <c r="C228" s="4" t="s">
        <v>23</v>
      </c>
      <c r="D228" s="4" t="s">
        <v>103</v>
      </c>
      <c r="E228" s="8">
        <v>0.3333</v>
      </c>
      <c r="F228" s="3">
        <v>2.33</v>
      </c>
      <c r="G228" s="3">
        <v>2.33</v>
      </c>
      <c r="H228" s="8">
        <v>1</v>
      </c>
      <c r="I228" s="10">
        <v>1</v>
      </c>
      <c r="J228" s="3">
        <v>2.33</v>
      </c>
    </row>
    <row r="229" s="4" customFormat="1" spans="1:10">
      <c r="A229" s="4" t="s">
        <v>304</v>
      </c>
      <c r="B229" s="4" t="s">
        <v>118</v>
      </c>
      <c r="C229" s="4" t="s">
        <v>26</v>
      </c>
      <c r="D229" s="4" t="s">
        <v>119</v>
      </c>
      <c r="E229" s="8">
        <v>0.5</v>
      </c>
      <c r="F229" s="3">
        <v>2.32</v>
      </c>
      <c r="G229" s="3">
        <v>2.32</v>
      </c>
      <c r="H229" s="8">
        <v>0</v>
      </c>
      <c r="I229" s="10">
        <v>0</v>
      </c>
      <c r="J229" s="3">
        <v>0</v>
      </c>
    </row>
    <row r="230" s="4" customFormat="1" spans="1:10">
      <c r="A230" s="4" t="s">
        <v>305</v>
      </c>
      <c r="B230" s="4" t="s">
        <v>109</v>
      </c>
      <c r="C230" s="4" t="s">
        <v>26</v>
      </c>
      <c r="D230" s="4" t="s">
        <v>110</v>
      </c>
      <c r="E230" s="8">
        <v>0.5</v>
      </c>
      <c r="F230" s="3">
        <v>2.31</v>
      </c>
      <c r="G230" s="3">
        <v>2.31</v>
      </c>
      <c r="H230" s="8">
        <v>0</v>
      </c>
      <c r="I230" s="10">
        <v>0</v>
      </c>
      <c r="J230" s="3">
        <v>0</v>
      </c>
    </row>
    <row r="231" s="4" customFormat="1" spans="1:10">
      <c r="A231" s="4" t="s">
        <v>306</v>
      </c>
      <c r="B231" s="4" t="s">
        <v>25</v>
      </c>
      <c r="C231" s="4" t="s">
        <v>23</v>
      </c>
      <c r="D231" s="4" t="s">
        <v>103</v>
      </c>
      <c r="E231" s="8">
        <v>1</v>
      </c>
      <c r="F231" s="3">
        <v>2.29</v>
      </c>
      <c r="G231" s="3">
        <v>2.29</v>
      </c>
      <c r="H231" s="8">
        <v>0</v>
      </c>
      <c r="I231" s="10">
        <v>0</v>
      </c>
      <c r="J231" s="3">
        <v>0</v>
      </c>
    </row>
    <row r="232" s="4" customFormat="1" spans="1:10">
      <c r="A232" s="4" t="s">
        <v>307</v>
      </c>
      <c r="B232" s="4" t="s">
        <v>217</v>
      </c>
      <c r="C232" s="4" t="s">
        <v>26</v>
      </c>
      <c r="D232" s="4" t="s">
        <v>103</v>
      </c>
      <c r="E232" s="8">
        <v>0.5</v>
      </c>
      <c r="F232" s="3">
        <v>2.29</v>
      </c>
      <c r="G232" s="3">
        <v>2.29</v>
      </c>
      <c r="H232" s="8">
        <v>0</v>
      </c>
      <c r="I232" s="10">
        <v>0</v>
      </c>
      <c r="J232" s="3">
        <v>0</v>
      </c>
    </row>
    <row r="233" s="4" customFormat="1" spans="1:10">
      <c r="A233" s="4" t="s">
        <v>308</v>
      </c>
      <c r="B233" s="4" t="s">
        <v>25</v>
      </c>
      <c r="C233" s="4" t="s">
        <v>23</v>
      </c>
      <c r="D233" s="4" t="s">
        <v>103</v>
      </c>
      <c r="E233" s="8">
        <v>1</v>
      </c>
      <c r="F233" s="3">
        <v>0.76</v>
      </c>
      <c r="G233" s="3">
        <v>2.28</v>
      </c>
      <c r="H233" s="8">
        <v>0</v>
      </c>
      <c r="I233" s="10">
        <v>0</v>
      </c>
      <c r="J233" s="3">
        <v>0</v>
      </c>
    </row>
    <row r="234" s="4" customFormat="1" spans="1:10">
      <c r="A234" s="4" t="s">
        <v>309</v>
      </c>
      <c r="B234" s="4" t="s">
        <v>118</v>
      </c>
      <c r="C234" s="4" t="s">
        <v>26</v>
      </c>
      <c r="D234" s="4" t="s">
        <v>110</v>
      </c>
      <c r="E234" s="8">
        <v>0.25</v>
      </c>
      <c r="F234" s="3">
        <v>2.27</v>
      </c>
      <c r="G234" s="3">
        <v>2.27</v>
      </c>
      <c r="H234" s="8">
        <v>0</v>
      </c>
      <c r="I234" s="10">
        <v>0</v>
      </c>
      <c r="J234" s="3">
        <v>0</v>
      </c>
    </row>
    <row r="235" s="4" customFormat="1" spans="1:10">
      <c r="A235" s="4" t="s">
        <v>310</v>
      </c>
      <c r="B235" s="4" t="s">
        <v>118</v>
      </c>
      <c r="C235" s="4" t="s">
        <v>26</v>
      </c>
      <c r="D235" s="4" t="s">
        <v>110</v>
      </c>
      <c r="E235" s="8">
        <v>0.5</v>
      </c>
      <c r="F235" s="3">
        <v>2.26</v>
      </c>
      <c r="G235" s="3">
        <v>2.26</v>
      </c>
      <c r="H235" s="8">
        <v>0</v>
      </c>
      <c r="I235" s="10">
        <v>0</v>
      </c>
      <c r="J235" s="3">
        <v>0</v>
      </c>
    </row>
    <row r="236" s="4" customFormat="1" spans="1:10">
      <c r="A236" s="4" t="s">
        <v>311</v>
      </c>
      <c r="B236" s="4" t="s">
        <v>25</v>
      </c>
      <c r="C236" s="4" t="s">
        <v>23</v>
      </c>
      <c r="D236" s="4" t="s">
        <v>103</v>
      </c>
      <c r="E236" s="8">
        <v>0.1429</v>
      </c>
      <c r="F236" s="3">
        <v>2.25</v>
      </c>
      <c r="G236" s="3">
        <v>2.25</v>
      </c>
      <c r="H236" s="8">
        <v>0</v>
      </c>
      <c r="I236" s="10">
        <v>0</v>
      </c>
      <c r="J236" s="3">
        <v>0</v>
      </c>
    </row>
    <row r="237" s="4" customFormat="1" spans="1:10">
      <c r="A237" s="4" t="s">
        <v>312</v>
      </c>
      <c r="B237" s="4" t="s">
        <v>25</v>
      </c>
      <c r="C237" s="4" t="s">
        <v>23</v>
      </c>
      <c r="D237" s="4" t="s">
        <v>103</v>
      </c>
      <c r="E237" s="8">
        <v>0.5</v>
      </c>
      <c r="F237" s="3">
        <v>2.24</v>
      </c>
      <c r="G237" s="3">
        <v>2.24</v>
      </c>
      <c r="H237" s="8">
        <v>0</v>
      </c>
      <c r="I237" s="10">
        <v>0</v>
      </c>
      <c r="J237" s="3">
        <v>0</v>
      </c>
    </row>
    <row r="238" s="4" customFormat="1" spans="1:10">
      <c r="A238" s="4" t="s">
        <v>313</v>
      </c>
      <c r="B238" s="4" t="s">
        <v>25</v>
      </c>
      <c r="C238" s="4" t="s">
        <v>23</v>
      </c>
      <c r="D238" s="4" t="s">
        <v>103</v>
      </c>
      <c r="E238" s="8">
        <v>0.5</v>
      </c>
      <c r="F238" s="3">
        <v>2.24</v>
      </c>
      <c r="G238" s="3">
        <v>2.24</v>
      </c>
      <c r="H238" s="8">
        <v>0</v>
      </c>
      <c r="I238" s="10">
        <v>0</v>
      </c>
      <c r="J238" s="3">
        <v>0</v>
      </c>
    </row>
    <row r="239" s="4" customFormat="1" spans="1:10">
      <c r="A239" s="4" t="s">
        <v>314</v>
      </c>
      <c r="B239" s="4" t="s">
        <v>25</v>
      </c>
      <c r="C239" s="4" t="s">
        <v>23</v>
      </c>
      <c r="D239" s="4" t="s">
        <v>103</v>
      </c>
      <c r="E239" s="8">
        <v>1</v>
      </c>
      <c r="F239" s="3">
        <v>2.18</v>
      </c>
      <c r="G239" s="3">
        <v>2.18</v>
      </c>
      <c r="H239" s="8">
        <v>0</v>
      </c>
      <c r="I239" s="10">
        <v>0</v>
      </c>
      <c r="J239" s="3">
        <v>0</v>
      </c>
    </row>
    <row r="240" s="4" customFormat="1" spans="1:10">
      <c r="A240" s="4" t="s">
        <v>194</v>
      </c>
      <c r="B240" s="4" t="s">
        <v>118</v>
      </c>
      <c r="C240" s="4" t="s">
        <v>26</v>
      </c>
      <c r="D240" s="4" t="s">
        <v>119</v>
      </c>
      <c r="E240" s="8">
        <v>0.5</v>
      </c>
      <c r="F240" s="3">
        <v>2.16</v>
      </c>
      <c r="G240" s="3">
        <v>2.16</v>
      </c>
      <c r="H240" s="8">
        <v>0</v>
      </c>
      <c r="I240" s="10">
        <v>0</v>
      </c>
      <c r="J240" s="3">
        <v>0</v>
      </c>
    </row>
    <row r="241" s="4" customFormat="1" spans="1:10">
      <c r="A241" s="4" t="s">
        <v>315</v>
      </c>
      <c r="B241" s="4" t="s">
        <v>135</v>
      </c>
      <c r="C241" s="4" t="s">
        <v>26</v>
      </c>
      <c r="D241" s="4" t="s">
        <v>119</v>
      </c>
      <c r="E241" s="8">
        <v>1</v>
      </c>
      <c r="F241" s="3">
        <v>2.16</v>
      </c>
      <c r="G241" s="3">
        <v>2.16</v>
      </c>
      <c r="H241" s="8">
        <v>0</v>
      </c>
      <c r="I241" s="10">
        <v>0</v>
      </c>
      <c r="J241" s="3">
        <v>0</v>
      </c>
    </row>
    <row r="242" s="4" customFormat="1" spans="1:10">
      <c r="A242" s="4" t="s">
        <v>316</v>
      </c>
      <c r="B242" s="4" t="s">
        <v>25</v>
      </c>
      <c r="C242" s="4" t="s">
        <v>23</v>
      </c>
      <c r="D242" s="4" t="s">
        <v>103</v>
      </c>
      <c r="E242" s="8">
        <v>0.0278</v>
      </c>
      <c r="F242" s="3">
        <v>2.15</v>
      </c>
      <c r="G242" s="3">
        <v>2.15</v>
      </c>
      <c r="H242" s="8">
        <v>0</v>
      </c>
      <c r="I242" s="10">
        <v>0</v>
      </c>
      <c r="J242" s="3">
        <v>0</v>
      </c>
    </row>
    <row r="243" s="4" customFormat="1" spans="1:10">
      <c r="A243" s="4" t="s">
        <v>102</v>
      </c>
      <c r="B243" s="4" t="s">
        <v>25</v>
      </c>
      <c r="C243" s="4" t="s">
        <v>28</v>
      </c>
      <c r="D243" s="4" t="s">
        <v>103</v>
      </c>
      <c r="E243" s="8">
        <v>0.1</v>
      </c>
      <c r="F243" s="3">
        <v>2.15</v>
      </c>
      <c r="G243" s="3">
        <v>2.15</v>
      </c>
      <c r="H243" s="8">
        <v>0</v>
      </c>
      <c r="I243" s="10">
        <v>0</v>
      </c>
      <c r="J243" s="3">
        <v>0</v>
      </c>
    </row>
    <row r="244" s="4" customFormat="1" spans="1:10">
      <c r="A244" s="4" t="s">
        <v>317</v>
      </c>
      <c r="B244" s="4" t="s">
        <v>118</v>
      </c>
      <c r="C244" s="4" t="s">
        <v>26</v>
      </c>
      <c r="D244" s="4" t="s">
        <v>110</v>
      </c>
      <c r="E244" s="8">
        <v>1</v>
      </c>
      <c r="F244" s="3">
        <v>2.15</v>
      </c>
      <c r="G244" s="3">
        <v>2.15</v>
      </c>
      <c r="H244" s="8">
        <v>0</v>
      </c>
      <c r="I244" s="10">
        <v>0</v>
      </c>
      <c r="J244" s="3">
        <v>0</v>
      </c>
    </row>
    <row r="245" s="4" customFormat="1" spans="1:10">
      <c r="A245" s="4" t="s">
        <v>318</v>
      </c>
      <c r="B245" s="4" t="s">
        <v>118</v>
      </c>
      <c r="C245" s="4" t="s">
        <v>26</v>
      </c>
      <c r="D245" t="s">
        <v>119</v>
      </c>
      <c r="E245" s="8">
        <v>0.5</v>
      </c>
      <c r="F245" s="3">
        <v>2.14</v>
      </c>
      <c r="G245" s="3">
        <v>2.14</v>
      </c>
      <c r="H245" s="8">
        <v>0</v>
      </c>
      <c r="I245" s="10">
        <v>0</v>
      </c>
      <c r="J245" s="3">
        <v>0</v>
      </c>
    </row>
    <row r="246" s="4" customFormat="1" spans="1:10">
      <c r="A246" s="4" t="s">
        <v>319</v>
      </c>
      <c r="B246" s="4" t="s">
        <v>25</v>
      </c>
      <c r="C246" s="4" t="s">
        <v>23</v>
      </c>
      <c r="D246" s="4" t="s">
        <v>103</v>
      </c>
      <c r="E246" s="8">
        <v>0.5</v>
      </c>
      <c r="F246" s="3">
        <v>2.13</v>
      </c>
      <c r="G246" s="3">
        <v>2.13</v>
      </c>
      <c r="H246" s="8">
        <v>0</v>
      </c>
      <c r="I246" s="10">
        <v>0</v>
      </c>
      <c r="J246" s="3">
        <v>0</v>
      </c>
    </row>
    <row r="247" s="4" customFormat="1" spans="1:10">
      <c r="A247" s="4" t="s">
        <v>320</v>
      </c>
      <c r="B247" s="4" t="s">
        <v>25</v>
      </c>
      <c r="C247" s="4" t="s">
        <v>23</v>
      </c>
      <c r="D247" s="4" t="s">
        <v>103</v>
      </c>
      <c r="E247" s="8">
        <v>0.3333</v>
      </c>
      <c r="F247" s="3">
        <v>1.05</v>
      </c>
      <c r="G247" s="3">
        <v>2.1</v>
      </c>
      <c r="H247" s="8">
        <v>0</v>
      </c>
      <c r="I247" s="10">
        <v>0</v>
      </c>
      <c r="J247" s="3">
        <v>0</v>
      </c>
    </row>
    <row r="248" s="4" customFormat="1" spans="1:10">
      <c r="A248" s="4" t="s">
        <v>321</v>
      </c>
      <c r="B248" s="4" t="s">
        <v>25</v>
      </c>
      <c r="C248" s="4" t="s">
        <v>23</v>
      </c>
      <c r="D248" s="4" t="s">
        <v>103</v>
      </c>
      <c r="E248" s="8">
        <v>0.25</v>
      </c>
      <c r="F248" s="3">
        <v>2.08</v>
      </c>
      <c r="G248" s="3">
        <v>2.08</v>
      </c>
      <c r="H248" s="8">
        <v>0</v>
      </c>
      <c r="I248" s="10">
        <v>0</v>
      </c>
      <c r="J248" s="3">
        <v>0</v>
      </c>
    </row>
    <row r="249" s="4" customFormat="1" spans="1:10">
      <c r="A249" s="4" t="s">
        <v>322</v>
      </c>
      <c r="B249" s="4" t="s">
        <v>118</v>
      </c>
      <c r="C249" s="4" t="s">
        <v>26</v>
      </c>
      <c r="D249" t="s">
        <v>110</v>
      </c>
      <c r="E249" s="8">
        <v>0.3333</v>
      </c>
      <c r="F249" s="3">
        <v>2.08</v>
      </c>
      <c r="G249" s="3">
        <v>2.08</v>
      </c>
      <c r="H249" s="8">
        <v>0</v>
      </c>
      <c r="I249" s="10">
        <v>0</v>
      </c>
      <c r="J249" s="3">
        <v>0</v>
      </c>
    </row>
    <row r="250" s="4" customFormat="1" spans="1:10">
      <c r="A250" s="4" t="s">
        <v>323</v>
      </c>
      <c r="B250" s="4" t="s">
        <v>25</v>
      </c>
      <c r="C250" s="4" t="s">
        <v>23</v>
      </c>
      <c r="D250" s="4" t="s">
        <v>103</v>
      </c>
      <c r="E250" s="8">
        <v>0.2222</v>
      </c>
      <c r="F250" s="3">
        <v>1.03</v>
      </c>
      <c r="G250" s="3">
        <v>2.06</v>
      </c>
      <c r="H250" s="8">
        <v>0</v>
      </c>
      <c r="I250" s="10">
        <v>0</v>
      </c>
      <c r="J250" s="3">
        <v>0</v>
      </c>
    </row>
    <row r="251" s="4" customFormat="1" spans="1:10">
      <c r="A251" s="4" t="s">
        <v>115</v>
      </c>
      <c r="B251" s="4" t="s">
        <v>118</v>
      </c>
      <c r="C251" s="4" t="s">
        <v>26</v>
      </c>
      <c r="D251" s="4" t="s">
        <v>119</v>
      </c>
      <c r="E251" s="8">
        <v>0.0087</v>
      </c>
      <c r="F251" s="3">
        <v>2.05</v>
      </c>
      <c r="G251" s="3">
        <v>2.05</v>
      </c>
      <c r="H251" s="8">
        <v>0</v>
      </c>
      <c r="I251" s="10">
        <v>0</v>
      </c>
      <c r="J251" s="3">
        <v>0</v>
      </c>
    </row>
    <row r="252" s="4" customFormat="1" spans="1:10">
      <c r="A252" s="4" t="s">
        <v>324</v>
      </c>
      <c r="B252" s="4" t="s">
        <v>135</v>
      </c>
      <c r="C252" s="4" t="s">
        <v>26</v>
      </c>
      <c r="D252" s="4" t="s">
        <v>119</v>
      </c>
      <c r="E252" s="8">
        <v>0.2</v>
      </c>
      <c r="F252" s="3">
        <v>2.03</v>
      </c>
      <c r="G252" s="3">
        <v>2.03</v>
      </c>
      <c r="H252" s="8">
        <v>0</v>
      </c>
      <c r="I252" s="10">
        <v>0</v>
      </c>
      <c r="J252" s="3">
        <v>0</v>
      </c>
    </row>
    <row r="253" s="4" customFormat="1" spans="1:10">
      <c r="A253" s="4" t="s">
        <v>325</v>
      </c>
      <c r="B253" s="4" t="s">
        <v>25</v>
      </c>
      <c r="C253" s="4" t="s">
        <v>23</v>
      </c>
      <c r="D253" s="4" t="s">
        <v>103</v>
      </c>
      <c r="E253" s="8">
        <v>0.0417</v>
      </c>
      <c r="F253" s="3">
        <v>2.01</v>
      </c>
      <c r="G253" s="3">
        <v>2.01</v>
      </c>
      <c r="H253" s="8">
        <v>0</v>
      </c>
      <c r="I253" s="10">
        <v>0</v>
      </c>
      <c r="J253" s="3">
        <v>0</v>
      </c>
    </row>
    <row r="254" s="4" customFormat="1" spans="1:10">
      <c r="A254" s="4" t="s">
        <v>326</v>
      </c>
      <c r="B254" s="4" t="s">
        <v>25</v>
      </c>
      <c r="C254" s="4" t="s">
        <v>28</v>
      </c>
      <c r="D254" s="4" t="s">
        <v>103</v>
      </c>
      <c r="E254" s="8">
        <v>1</v>
      </c>
      <c r="F254" s="3">
        <v>2</v>
      </c>
      <c r="G254" s="3">
        <v>2</v>
      </c>
      <c r="H254" s="8">
        <v>0</v>
      </c>
      <c r="I254" s="10">
        <v>0</v>
      </c>
      <c r="J254" s="3">
        <v>0</v>
      </c>
    </row>
    <row r="255" s="4" customFormat="1" spans="1:10">
      <c r="A255" s="4" t="s">
        <v>327</v>
      </c>
      <c r="B255" s="4" t="s">
        <v>25</v>
      </c>
      <c r="C255" s="4" t="s">
        <v>23</v>
      </c>
      <c r="D255" s="4" t="s">
        <v>103</v>
      </c>
      <c r="E255" s="8">
        <v>0.1</v>
      </c>
      <c r="F255" s="3">
        <v>0.99</v>
      </c>
      <c r="G255" s="3">
        <v>1.97</v>
      </c>
      <c r="H255" s="8">
        <v>0</v>
      </c>
      <c r="I255" s="10">
        <v>0</v>
      </c>
      <c r="J255" s="3">
        <v>0</v>
      </c>
    </row>
    <row r="256" s="4" customFormat="1" spans="1:10">
      <c r="A256" s="4" t="s">
        <v>328</v>
      </c>
      <c r="B256" s="4" t="s">
        <v>25</v>
      </c>
      <c r="C256" s="4" t="s">
        <v>23</v>
      </c>
      <c r="D256" s="4" t="s">
        <v>103</v>
      </c>
      <c r="E256" s="8">
        <v>0.5</v>
      </c>
      <c r="F256" s="3">
        <v>1.97</v>
      </c>
      <c r="G256" s="3">
        <v>1.97</v>
      </c>
      <c r="H256" s="8">
        <v>0</v>
      </c>
      <c r="I256" s="10">
        <v>0</v>
      </c>
      <c r="J256" s="3">
        <v>0</v>
      </c>
    </row>
    <row r="257" s="4" customFormat="1" spans="1:10">
      <c r="A257" s="4" t="s">
        <v>329</v>
      </c>
      <c r="B257" s="4" t="s">
        <v>135</v>
      </c>
      <c r="C257" s="4" t="s">
        <v>26</v>
      </c>
      <c r="D257" s="4" t="s">
        <v>119</v>
      </c>
      <c r="E257" s="8">
        <v>0.5</v>
      </c>
      <c r="F257" s="3">
        <v>1.97</v>
      </c>
      <c r="G257" s="3">
        <v>1.97</v>
      </c>
      <c r="H257" s="8">
        <v>0</v>
      </c>
      <c r="I257" s="10">
        <v>0</v>
      </c>
      <c r="J257" s="3">
        <v>0</v>
      </c>
    </row>
    <row r="258" s="4" customFormat="1" spans="1:10">
      <c r="A258" s="4" t="s">
        <v>330</v>
      </c>
      <c r="B258" s="4" t="s">
        <v>25</v>
      </c>
      <c r="C258" s="4" t="s">
        <v>23</v>
      </c>
      <c r="D258" s="4" t="s">
        <v>103</v>
      </c>
      <c r="E258" s="8">
        <v>0.0714</v>
      </c>
      <c r="F258" s="3">
        <v>1.96</v>
      </c>
      <c r="G258" s="3">
        <v>1.96</v>
      </c>
      <c r="H258" s="8">
        <v>1</v>
      </c>
      <c r="I258" s="10">
        <v>1</v>
      </c>
      <c r="J258" s="3">
        <v>1.96</v>
      </c>
    </row>
    <row r="259" s="4" customFormat="1" spans="1:10">
      <c r="A259" s="4" t="s">
        <v>287</v>
      </c>
      <c r="B259" s="4" t="s">
        <v>118</v>
      </c>
      <c r="C259" s="4" t="s">
        <v>26</v>
      </c>
      <c r="D259" s="4" t="s">
        <v>110</v>
      </c>
      <c r="E259" s="8">
        <v>0.5</v>
      </c>
      <c r="F259" s="3">
        <v>1.96</v>
      </c>
      <c r="G259" s="3">
        <v>1.96</v>
      </c>
      <c r="H259" s="8">
        <v>0</v>
      </c>
      <c r="I259" s="10">
        <v>0</v>
      </c>
      <c r="J259" s="3">
        <v>0</v>
      </c>
    </row>
    <row r="260" s="4" customFormat="1" spans="1:10">
      <c r="A260" s="4" t="s">
        <v>331</v>
      </c>
      <c r="B260" s="4" t="s">
        <v>118</v>
      </c>
      <c r="C260" s="4" t="s">
        <v>26</v>
      </c>
      <c r="D260" s="4" t="s">
        <v>110</v>
      </c>
      <c r="E260" s="8">
        <v>0.3333</v>
      </c>
      <c r="F260" s="3">
        <v>1.96</v>
      </c>
      <c r="G260" s="3">
        <v>1.96</v>
      </c>
      <c r="H260" s="8">
        <v>0</v>
      </c>
      <c r="I260" s="10">
        <v>0</v>
      </c>
      <c r="J260" s="3">
        <v>0</v>
      </c>
    </row>
    <row r="261" s="4" customFormat="1" spans="1:10">
      <c r="A261" s="4" t="s">
        <v>332</v>
      </c>
      <c r="B261" s="4" t="s">
        <v>25</v>
      </c>
      <c r="C261" s="4" t="s">
        <v>23</v>
      </c>
      <c r="D261" s="4" t="s">
        <v>103</v>
      </c>
      <c r="E261" s="8">
        <v>1</v>
      </c>
      <c r="F261" s="3">
        <v>1.92</v>
      </c>
      <c r="G261" s="3">
        <v>1.92</v>
      </c>
      <c r="H261" s="8">
        <v>0</v>
      </c>
      <c r="I261" s="10">
        <v>0</v>
      </c>
      <c r="J261" s="3">
        <v>0</v>
      </c>
    </row>
    <row r="262" s="4" customFormat="1" spans="1:10">
      <c r="A262" s="4" t="s">
        <v>333</v>
      </c>
      <c r="B262" s="4" t="s">
        <v>25</v>
      </c>
      <c r="C262" s="4" t="s">
        <v>23</v>
      </c>
      <c r="D262" s="4" t="s">
        <v>103</v>
      </c>
      <c r="E262" s="8">
        <v>0.05</v>
      </c>
      <c r="F262" s="3">
        <v>1.92</v>
      </c>
      <c r="G262" s="3">
        <v>1.92</v>
      </c>
      <c r="H262" s="8">
        <v>0</v>
      </c>
      <c r="I262" s="10">
        <v>0</v>
      </c>
      <c r="J262" s="3">
        <v>0</v>
      </c>
    </row>
    <row r="263" s="4" customFormat="1" spans="1:10">
      <c r="A263" s="4" t="s">
        <v>334</v>
      </c>
      <c r="B263" s="4" t="s">
        <v>25</v>
      </c>
      <c r="C263" s="4" t="s">
        <v>23</v>
      </c>
      <c r="D263" s="4" t="s">
        <v>103</v>
      </c>
      <c r="E263" s="8">
        <v>0.2</v>
      </c>
      <c r="F263" s="3">
        <v>1.91</v>
      </c>
      <c r="G263" s="3">
        <v>1.91</v>
      </c>
      <c r="H263" s="8">
        <v>0</v>
      </c>
      <c r="I263" s="10">
        <v>0</v>
      </c>
      <c r="J263" s="3">
        <v>0</v>
      </c>
    </row>
    <row r="264" s="4" customFormat="1" spans="1:10">
      <c r="A264" s="4" t="s">
        <v>335</v>
      </c>
      <c r="B264" s="4" t="s">
        <v>25</v>
      </c>
      <c r="C264" s="4" t="s">
        <v>23</v>
      </c>
      <c r="D264" s="4" t="s">
        <v>103</v>
      </c>
      <c r="E264" s="8">
        <v>1</v>
      </c>
      <c r="F264" s="3">
        <v>1.89</v>
      </c>
      <c r="G264" s="3">
        <v>1.89</v>
      </c>
      <c r="H264" s="8">
        <v>0</v>
      </c>
      <c r="I264" s="10">
        <v>0</v>
      </c>
      <c r="J264" s="3">
        <v>0</v>
      </c>
    </row>
    <row r="265" s="4" customFormat="1" spans="1:10">
      <c r="A265" s="4" t="s">
        <v>115</v>
      </c>
      <c r="B265" s="4" t="s">
        <v>118</v>
      </c>
      <c r="C265" s="4" t="s">
        <v>26</v>
      </c>
      <c r="D265" s="4" t="s">
        <v>110</v>
      </c>
      <c r="E265" s="8">
        <v>0.0833</v>
      </c>
      <c r="F265" s="3">
        <v>1.89</v>
      </c>
      <c r="G265" s="3">
        <v>1.89</v>
      </c>
      <c r="H265" s="8">
        <v>0</v>
      </c>
      <c r="I265" s="10">
        <v>0</v>
      </c>
      <c r="J265" s="3">
        <v>0</v>
      </c>
    </row>
    <row r="266" s="4" customFormat="1" spans="1:10">
      <c r="A266" s="4" t="s">
        <v>336</v>
      </c>
      <c r="B266" s="4" t="s">
        <v>118</v>
      </c>
      <c r="C266" s="4" t="s">
        <v>26</v>
      </c>
      <c r="D266" t="s">
        <v>119</v>
      </c>
      <c r="E266" s="8">
        <v>1</v>
      </c>
      <c r="F266" s="3">
        <v>0.94</v>
      </c>
      <c r="G266" s="3">
        <v>1.89</v>
      </c>
      <c r="H266" s="8">
        <v>0</v>
      </c>
      <c r="I266" s="10">
        <v>0</v>
      </c>
      <c r="J266" s="3">
        <v>0</v>
      </c>
    </row>
    <row r="267" s="4" customFormat="1" spans="1:10">
      <c r="A267" s="4" t="s">
        <v>337</v>
      </c>
      <c r="B267" s="4" t="s">
        <v>25</v>
      </c>
      <c r="C267" s="4" t="s">
        <v>23</v>
      </c>
      <c r="D267" t="s">
        <v>103</v>
      </c>
      <c r="E267" s="8">
        <v>1</v>
      </c>
      <c r="F267" s="3">
        <v>1.85</v>
      </c>
      <c r="G267" s="3">
        <v>1.85</v>
      </c>
      <c r="H267" s="8">
        <v>0</v>
      </c>
      <c r="I267" s="10">
        <v>0</v>
      </c>
      <c r="J267" s="3">
        <v>0</v>
      </c>
    </row>
    <row r="268" spans="1:10">
      <c r="A268" t="s">
        <v>338</v>
      </c>
      <c r="B268" t="s">
        <v>118</v>
      </c>
      <c r="C268" t="s">
        <v>26</v>
      </c>
      <c r="D268" t="s">
        <v>110</v>
      </c>
      <c r="E268" s="8">
        <v>1</v>
      </c>
      <c r="F268" s="3">
        <v>1.83</v>
      </c>
      <c r="G268" s="3">
        <v>1.83</v>
      </c>
      <c r="H268" s="8">
        <v>0</v>
      </c>
      <c r="I268" s="10">
        <v>0</v>
      </c>
      <c r="J268" s="3">
        <v>0</v>
      </c>
    </row>
    <row r="269" spans="1:10">
      <c r="A269" t="s">
        <v>339</v>
      </c>
      <c r="B269" t="s">
        <v>25</v>
      </c>
      <c r="C269" t="s">
        <v>23</v>
      </c>
      <c r="D269" t="s">
        <v>103</v>
      </c>
      <c r="E269" s="8">
        <v>0.5</v>
      </c>
      <c r="F269" s="3">
        <v>1.8</v>
      </c>
      <c r="G269" s="3">
        <v>1.8</v>
      </c>
      <c r="H269" s="8">
        <v>0</v>
      </c>
      <c r="I269" s="10">
        <v>0</v>
      </c>
      <c r="J269" s="3">
        <v>0</v>
      </c>
    </row>
    <row r="270" spans="1:10">
      <c r="A270" t="s">
        <v>340</v>
      </c>
      <c r="B270" t="s">
        <v>118</v>
      </c>
      <c r="C270" t="s">
        <v>26</v>
      </c>
      <c r="D270" t="s">
        <v>110</v>
      </c>
      <c r="E270" s="8">
        <v>0.0833</v>
      </c>
      <c r="F270" s="3">
        <v>1.8</v>
      </c>
      <c r="G270" s="3">
        <v>1.8</v>
      </c>
      <c r="H270" s="8">
        <v>0</v>
      </c>
      <c r="I270" s="10">
        <v>0</v>
      </c>
      <c r="J270" s="3">
        <v>0</v>
      </c>
    </row>
    <row r="271" spans="1:10">
      <c r="A271" t="s">
        <v>341</v>
      </c>
      <c r="B271" t="s">
        <v>25</v>
      </c>
      <c r="C271" t="s">
        <v>23</v>
      </c>
      <c r="D271" t="s">
        <v>103</v>
      </c>
      <c r="E271" s="8">
        <v>0.05</v>
      </c>
      <c r="F271" s="3">
        <v>1.79</v>
      </c>
      <c r="G271" s="3">
        <v>1.79</v>
      </c>
      <c r="H271" s="8">
        <v>0</v>
      </c>
      <c r="I271" s="10">
        <v>0</v>
      </c>
      <c r="J271" s="3">
        <v>0</v>
      </c>
    </row>
    <row r="272" spans="1:10">
      <c r="A272" t="s">
        <v>111</v>
      </c>
      <c r="B272" t="s">
        <v>212</v>
      </c>
      <c r="C272" t="s">
        <v>26</v>
      </c>
      <c r="D272" t="s">
        <v>111</v>
      </c>
      <c r="E272" s="8">
        <v>0.0082</v>
      </c>
      <c r="F272" s="3">
        <v>1.77</v>
      </c>
      <c r="G272" s="3">
        <v>1.77</v>
      </c>
      <c r="H272" s="8">
        <v>0</v>
      </c>
      <c r="I272" s="10">
        <v>0</v>
      </c>
      <c r="J272" s="3">
        <v>0</v>
      </c>
    </row>
    <row r="273" spans="1:10">
      <c r="A273" t="s">
        <v>342</v>
      </c>
      <c r="B273" t="s">
        <v>25</v>
      </c>
      <c r="C273" t="s">
        <v>23</v>
      </c>
      <c r="D273" t="s">
        <v>103</v>
      </c>
      <c r="E273" s="8">
        <v>0.5</v>
      </c>
      <c r="F273" s="3">
        <v>1.77</v>
      </c>
      <c r="G273" s="3">
        <v>1.77</v>
      </c>
      <c r="H273" s="8">
        <v>0</v>
      </c>
      <c r="I273" s="10">
        <v>0</v>
      </c>
      <c r="J273" s="3">
        <v>0</v>
      </c>
    </row>
    <row r="274" spans="1:10">
      <c r="A274" t="s">
        <v>343</v>
      </c>
      <c r="B274" t="s">
        <v>25</v>
      </c>
      <c r="C274" t="s">
        <v>23</v>
      </c>
      <c r="D274" t="s">
        <v>103</v>
      </c>
      <c r="E274" s="8">
        <v>1</v>
      </c>
      <c r="F274" s="3">
        <v>1.77</v>
      </c>
      <c r="G274" s="3">
        <v>1.77</v>
      </c>
      <c r="H274" s="8">
        <v>0</v>
      </c>
      <c r="I274" s="10">
        <v>0</v>
      </c>
      <c r="J274" s="3">
        <v>0</v>
      </c>
    </row>
    <row r="275" spans="1:10">
      <c r="A275" t="s">
        <v>344</v>
      </c>
      <c r="B275" t="s">
        <v>25</v>
      </c>
      <c r="C275" t="s">
        <v>23</v>
      </c>
      <c r="D275" t="s">
        <v>103</v>
      </c>
      <c r="E275" s="8">
        <v>1</v>
      </c>
      <c r="F275" s="3">
        <v>1.76</v>
      </c>
      <c r="G275" s="3">
        <v>1.76</v>
      </c>
      <c r="H275" s="8">
        <v>0</v>
      </c>
      <c r="I275" s="10">
        <v>0</v>
      </c>
      <c r="J275" s="3">
        <v>0</v>
      </c>
    </row>
    <row r="276" spans="1:10">
      <c r="A276" t="s">
        <v>345</v>
      </c>
      <c r="B276" t="s">
        <v>25</v>
      </c>
      <c r="C276" t="s">
        <v>23</v>
      </c>
      <c r="D276" t="s">
        <v>103</v>
      </c>
      <c r="E276" s="8">
        <v>0.0588</v>
      </c>
      <c r="F276" s="3">
        <v>1.76</v>
      </c>
      <c r="G276" s="3">
        <v>1.76</v>
      </c>
      <c r="H276" s="8">
        <v>0</v>
      </c>
      <c r="I276" s="10">
        <v>0</v>
      </c>
      <c r="J276" s="3">
        <v>0</v>
      </c>
    </row>
    <row r="277" spans="1:10">
      <c r="A277" t="s">
        <v>346</v>
      </c>
      <c r="B277" t="s">
        <v>25</v>
      </c>
      <c r="C277" t="s">
        <v>23</v>
      </c>
      <c r="D277" t="s">
        <v>103</v>
      </c>
      <c r="E277" s="8">
        <v>0.3333</v>
      </c>
      <c r="F277" s="3">
        <v>0.88</v>
      </c>
      <c r="G277" s="3">
        <v>1.75</v>
      </c>
      <c r="H277" s="8">
        <v>0</v>
      </c>
      <c r="I277" s="10">
        <v>0</v>
      </c>
      <c r="J277" s="3">
        <v>0</v>
      </c>
    </row>
    <row r="278" spans="1:10">
      <c r="A278" t="s">
        <v>347</v>
      </c>
      <c r="B278" t="s">
        <v>25</v>
      </c>
      <c r="C278" t="s">
        <v>23</v>
      </c>
      <c r="D278" t="s">
        <v>103</v>
      </c>
      <c r="E278" s="8">
        <v>0.3333</v>
      </c>
      <c r="F278" s="3">
        <v>1.74</v>
      </c>
      <c r="G278" s="3">
        <v>1.74</v>
      </c>
      <c r="H278" s="8">
        <v>1</v>
      </c>
      <c r="I278" s="10">
        <v>1</v>
      </c>
      <c r="J278" s="3">
        <v>1.74</v>
      </c>
    </row>
    <row r="279" spans="1:10">
      <c r="A279" t="s">
        <v>348</v>
      </c>
      <c r="B279" t="s">
        <v>118</v>
      </c>
      <c r="C279" t="s">
        <v>26</v>
      </c>
      <c r="D279" t="s">
        <v>110</v>
      </c>
      <c r="E279" s="8">
        <v>0.5</v>
      </c>
      <c r="F279" s="3">
        <v>1.74</v>
      </c>
      <c r="G279" s="3">
        <v>1.74</v>
      </c>
      <c r="H279" s="8">
        <v>0</v>
      </c>
      <c r="I279" s="10">
        <v>0</v>
      </c>
      <c r="J279" s="3">
        <v>0</v>
      </c>
    </row>
    <row r="280" spans="1:10">
      <c r="A280" t="s">
        <v>349</v>
      </c>
      <c r="B280" t="s">
        <v>25</v>
      </c>
      <c r="C280" t="s">
        <v>23</v>
      </c>
      <c r="D280" t="s">
        <v>103</v>
      </c>
      <c r="E280" s="8">
        <v>0.3333</v>
      </c>
      <c r="F280" s="3">
        <v>1.73</v>
      </c>
      <c r="G280" s="3">
        <v>1.73</v>
      </c>
      <c r="H280" s="8">
        <v>0</v>
      </c>
      <c r="I280" s="10">
        <v>0</v>
      </c>
      <c r="J280" s="3">
        <v>0</v>
      </c>
    </row>
    <row r="281" spans="1:10">
      <c r="A281" t="s">
        <v>350</v>
      </c>
      <c r="B281" t="s">
        <v>25</v>
      </c>
      <c r="C281" t="s">
        <v>23</v>
      </c>
      <c r="D281" t="s">
        <v>103</v>
      </c>
      <c r="E281" s="8">
        <v>0.0488</v>
      </c>
      <c r="F281" s="3">
        <v>0.86</v>
      </c>
      <c r="G281" s="3">
        <v>1.72</v>
      </c>
      <c r="H281" s="8">
        <v>0</v>
      </c>
      <c r="I281" s="10">
        <v>0</v>
      </c>
      <c r="J281" s="3">
        <v>0</v>
      </c>
    </row>
    <row r="282" spans="1:10">
      <c r="A282" t="s">
        <v>351</v>
      </c>
      <c r="B282" t="s">
        <v>217</v>
      </c>
      <c r="C282" t="s">
        <v>26</v>
      </c>
      <c r="D282" t="s">
        <v>103</v>
      </c>
      <c r="E282" s="8">
        <v>1</v>
      </c>
      <c r="F282" s="3">
        <v>1.71</v>
      </c>
      <c r="G282" s="3">
        <v>1.71</v>
      </c>
      <c r="H282" s="8">
        <v>0</v>
      </c>
      <c r="I282" s="10">
        <v>0</v>
      </c>
      <c r="J282" s="3">
        <v>0</v>
      </c>
    </row>
    <row r="283" spans="1:10">
      <c r="A283" t="s">
        <v>352</v>
      </c>
      <c r="B283" t="s">
        <v>118</v>
      </c>
      <c r="C283" t="s">
        <v>26</v>
      </c>
      <c r="D283" t="s">
        <v>119</v>
      </c>
      <c r="E283" s="8">
        <v>0.3333</v>
      </c>
      <c r="F283" s="3">
        <v>1.69</v>
      </c>
      <c r="G283" s="3">
        <v>1.69</v>
      </c>
      <c r="H283" s="8">
        <v>0</v>
      </c>
      <c r="I283" s="10">
        <v>0</v>
      </c>
      <c r="J283" s="3">
        <v>0</v>
      </c>
    </row>
    <row r="284" spans="1:10">
      <c r="A284" t="s">
        <v>353</v>
      </c>
      <c r="B284" t="s">
        <v>25</v>
      </c>
      <c r="C284" t="s">
        <v>23</v>
      </c>
      <c r="D284" t="s">
        <v>103</v>
      </c>
      <c r="E284" s="8">
        <v>0.5</v>
      </c>
      <c r="F284" s="3">
        <v>1.68</v>
      </c>
      <c r="G284" s="3">
        <v>1.68</v>
      </c>
      <c r="H284" s="8">
        <v>0</v>
      </c>
      <c r="I284" s="10">
        <v>0</v>
      </c>
      <c r="J284" s="3">
        <v>0</v>
      </c>
    </row>
    <row r="285" spans="1:10">
      <c r="A285" t="s">
        <v>354</v>
      </c>
      <c r="B285" t="s">
        <v>25</v>
      </c>
      <c r="C285" t="s">
        <v>23</v>
      </c>
      <c r="D285" t="s">
        <v>103</v>
      </c>
      <c r="E285" s="8">
        <v>0.1667</v>
      </c>
      <c r="F285" s="3">
        <v>1.67</v>
      </c>
      <c r="G285" s="3">
        <v>1.67</v>
      </c>
      <c r="H285" s="8">
        <v>0</v>
      </c>
      <c r="I285" s="10">
        <v>0</v>
      </c>
      <c r="J285" s="3">
        <v>0</v>
      </c>
    </row>
    <row r="286" spans="1:10">
      <c r="A286" t="s">
        <v>355</v>
      </c>
      <c r="B286" t="s">
        <v>25</v>
      </c>
      <c r="C286" t="s">
        <v>23</v>
      </c>
      <c r="D286" t="s">
        <v>103</v>
      </c>
      <c r="E286" s="8">
        <v>0.3333</v>
      </c>
      <c r="F286" s="3">
        <v>1.66</v>
      </c>
      <c r="G286" s="3">
        <v>1.66</v>
      </c>
      <c r="H286" s="8">
        <v>0</v>
      </c>
      <c r="I286" s="10">
        <v>0</v>
      </c>
      <c r="J286" s="3">
        <v>0</v>
      </c>
    </row>
    <row r="287" spans="1:10">
      <c r="A287" t="s">
        <v>356</v>
      </c>
      <c r="B287" t="s">
        <v>25</v>
      </c>
      <c r="C287" t="s">
        <v>23</v>
      </c>
      <c r="D287" t="s">
        <v>103</v>
      </c>
      <c r="E287" s="8">
        <v>0.3333</v>
      </c>
      <c r="F287" s="3">
        <v>1.65</v>
      </c>
      <c r="G287" s="3">
        <v>1.65</v>
      </c>
      <c r="H287" s="8">
        <v>0</v>
      </c>
      <c r="I287" s="10">
        <v>0</v>
      </c>
      <c r="J287" s="3">
        <v>0</v>
      </c>
    </row>
    <row r="288" spans="1:10">
      <c r="A288" t="s">
        <v>357</v>
      </c>
      <c r="B288" t="s">
        <v>118</v>
      </c>
      <c r="C288" t="s">
        <v>26</v>
      </c>
      <c r="D288" t="s">
        <v>119</v>
      </c>
      <c r="E288" s="8">
        <v>0.1667</v>
      </c>
      <c r="F288" s="3">
        <v>1.64</v>
      </c>
      <c r="G288" s="3">
        <v>1.64</v>
      </c>
      <c r="H288" s="8">
        <v>0</v>
      </c>
      <c r="I288" s="10">
        <v>0</v>
      </c>
      <c r="J288" s="3">
        <v>0</v>
      </c>
    </row>
    <row r="289" spans="1:10">
      <c r="A289" t="s">
        <v>140</v>
      </c>
      <c r="B289" t="s">
        <v>118</v>
      </c>
      <c r="C289" t="s">
        <v>26</v>
      </c>
      <c r="D289" t="s">
        <v>110</v>
      </c>
      <c r="E289" s="8">
        <v>0.2</v>
      </c>
      <c r="F289" s="3">
        <v>1.64</v>
      </c>
      <c r="G289" s="3">
        <v>1.64</v>
      </c>
      <c r="H289" s="8">
        <v>0</v>
      </c>
      <c r="I289" s="10">
        <v>0</v>
      </c>
      <c r="J289" s="3">
        <v>0</v>
      </c>
    </row>
    <row r="290" spans="1:10">
      <c r="A290" t="s">
        <v>358</v>
      </c>
      <c r="B290" t="s">
        <v>25</v>
      </c>
      <c r="C290" t="s">
        <v>23</v>
      </c>
      <c r="D290" t="s">
        <v>103</v>
      </c>
      <c r="E290" s="8">
        <v>0.3333</v>
      </c>
      <c r="F290" s="3">
        <v>1.59</v>
      </c>
      <c r="G290" s="3">
        <v>1.59</v>
      </c>
      <c r="H290" s="8">
        <v>0</v>
      </c>
      <c r="I290" s="10">
        <v>0</v>
      </c>
      <c r="J290" s="3">
        <v>0</v>
      </c>
    </row>
    <row r="291" spans="1:10">
      <c r="A291" t="s">
        <v>359</v>
      </c>
      <c r="B291" t="s">
        <v>109</v>
      </c>
      <c r="C291" t="s">
        <v>26</v>
      </c>
      <c r="D291" t="s">
        <v>119</v>
      </c>
      <c r="E291" s="8">
        <v>0.2</v>
      </c>
      <c r="F291" s="3">
        <v>1.59</v>
      </c>
      <c r="G291" s="3">
        <v>1.59</v>
      </c>
      <c r="H291" s="8">
        <v>0</v>
      </c>
      <c r="I291" s="10">
        <v>0</v>
      </c>
      <c r="J291" s="3">
        <v>0</v>
      </c>
    </row>
    <row r="292" spans="1:10">
      <c r="A292" t="s">
        <v>360</v>
      </c>
      <c r="B292" t="s">
        <v>25</v>
      </c>
      <c r="C292" t="s">
        <v>23</v>
      </c>
      <c r="D292" t="s">
        <v>103</v>
      </c>
      <c r="E292" s="8">
        <v>0.5</v>
      </c>
      <c r="F292" s="3">
        <v>1.58</v>
      </c>
      <c r="G292" s="3">
        <v>1.58</v>
      </c>
      <c r="H292" s="8">
        <v>0</v>
      </c>
      <c r="I292" s="10">
        <v>0</v>
      </c>
      <c r="J292" s="3">
        <v>0</v>
      </c>
    </row>
    <row r="293" spans="1:10">
      <c r="A293" t="s">
        <v>361</v>
      </c>
      <c r="B293" t="s">
        <v>25</v>
      </c>
      <c r="C293" t="s">
        <v>23</v>
      </c>
      <c r="D293" t="s">
        <v>103</v>
      </c>
      <c r="E293" s="8">
        <v>0.3333</v>
      </c>
      <c r="F293" s="3">
        <v>1.56</v>
      </c>
      <c r="G293" s="3">
        <v>1.56</v>
      </c>
      <c r="H293" s="8">
        <v>0</v>
      </c>
      <c r="I293" s="10">
        <v>0</v>
      </c>
      <c r="J293" s="3">
        <v>0</v>
      </c>
    </row>
    <row r="294" spans="1:10">
      <c r="A294" t="s">
        <v>362</v>
      </c>
      <c r="B294" t="s">
        <v>25</v>
      </c>
      <c r="C294" t="s">
        <v>23</v>
      </c>
      <c r="D294" t="s">
        <v>103</v>
      </c>
      <c r="E294" s="8">
        <v>0.25</v>
      </c>
      <c r="F294" s="3">
        <v>1.55</v>
      </c>
      <c r="G294" s="3">
        <v>1.55</v>
      </c>
      <c r="H294" s="8">
        <v>0</v>
      </c>
      <c r="I294" s="10">
        <v>0</v>
      </c>
      <c r="J294" s="3">
        <v>0</v>
      </c>
    </row>
    <row r="295" spans="1:10">
      <c r="A295" t="s">
        <v>363</v>
      </c>
      <c r="B295" t="s">
        <v>25</v>
      </c>
      <c r="C295" t="s">
        <v>23</v>
      </c>
      <c r="D295" t="s">
        <v>103</v>
      </c>
      <c r="E295" s="8">
        <v>1</v>
      </c>
      <c r="F295" s="3">
        <v>1.52</v>
      </c>
      <c r="G295" s="3">
        <v>1.52</v>
      </c>
      <c r="H295" s="8">
        <v>0</v>
      </c>
      <c r="I295" s="10">
        <v>0</v>
      </c>
      <c r="J295" s="3">
        <v>0</v>
      </c>
    </row>
    <row r="296" spans="1:10">
      <c r="A296" t="s">
        <v>364</v>
      </c>
      <c r="B296" t="s">
        <v>25</v>
      </c>
      <c r="C296" t="s">
        <v>23</v>
      </c>
      <c r="D296" t="s">
        <v>103</v>
      </c>
      <c r="E296" s="8">
        <v>0.1667</v>
      </c>
      <c r="F296" s="3">
        <v>1.5</v>
      </c>
      <c r="G296" s="3">
        <v>1.5</v>
      </c>
      <c r="H296" s="8">
        <v>0</v>
      </c>
      <c r="I296" s="10">
        <v>0</v>
      </c>
      <c r="J296" s="3">
        <v>0</v>
      </c>
    </row>
    <row r="297" spans="1:10">
      <c r="A297" t="s">
        <v>365</v>
      </c>
      <c r="B297" t="s">
        <v>25</v>
      </c>
      <c r="C297" t="s">
        <v>23</v>
      </c>
      <c r="D297" t="s">
        <v>103</v>
      </c>
      <c r="E297" s="8">
        <v>0.3333</v>
      </c>
      <c r="F297" s="3">
        <v>1.49</v>
      </c>
      <c r="G297" s="3">
        <v>1.49</v>
      </c>
      <c r="H297" s="8">
        <v>0</v>
      </c>
      <c r="I297" s="10">
        <v>0</v>
      </c>
      <c r="J297" s="3">
        <v>0</v>
      </c>
    </row>
    <row r="298" spans="1:10">
      <c r="A298" t="s">
        <v>366</v>
      </c>
      <c r="B298" t="s">
        <v>25</v>
      </c>
      <c r="C298" t="s">
        <v>23</v>
      </c>
      <c r="D298" t="s">
        <v>103</v>
      </c>
      <c r="E298" s="8">
        <v>0.0556</v>
      </c>
      <c r="F298" s="3">
        <v>1.49</v>
      </c>
      <c r="G298" s="3">
        <v>1.49</v>
      </c>
      <c r="H298" s="8">
        <v>0</v>
      </c>
      <c r="I298" s="10">
        <v>0</v>
      </c>
      <c r="J298" s="3">
        <v>0</v>
      </c>
    </row>
    <row r="299" spans="1:10">
      <c r="A299" t="s">
        <v>367</v>
      </c>
      <c r="B299" t="s">
        <v>118</v>
      </c>
      <c r="C299" t="s">
        <v>26</v>
      </c>
      <c r="D299" t="s">
        <v>119</v>
      </c>
      <c r="E299" s="8">
        <v>1</v>
      </c>
      <c r="F299" s="3">
        <v>1.49</v>
      </c>
      <c r="G299" s="3">
        <v>1.49</v>
      </c>
      <c r="H299" s="8">
        <v>0</v>
      </c>
      <c r="I299" s="10">
        <v>0</v>
      </c>
      <c r="J299" s="3">
        <v>0</v>
      </c>
    </row>
    <row r="300" spans="1:10">
      <c r="A300" t="s">
        <v>368</v>
      </c>
      <c r="B300" t="s">
        <v>118</v>
      </c>
      <c r="C300" t="s">
        <v>26</v>
      </c>
      <c r="D300" t="s">
        <v>192</v>
      </c>
      <c r="E300" s="8">
        <v>1</v>
      </c>
      <c r="F300" s="3">
        <v>1.47</v>
      </c>
      <c r="G300" s="3">
        <v>1.47</v>
      </c>
      <c r="H300" s="8">
        <v>0</v>
      </c>
      <c r="I300" s="10">
        <v>0</v>
      </c>
      <c r="J300" s="3">
        <v>0</v>
      </c>
    </row>
    <row r="301" spans="1:10">
      <c r="A301" t="s">
        <v>369</v>
      </c>
      <c r="B301" t="s">
        <v>25</v>
      </c>
      <c r="C301" t="s">
        <v>23</v>
      </c>
      <c r="D301" t="s">
        <v>103</v>
      </c>
      <c r="E301" s="8">
        <v>1</v>
      </c>
      <c r="F301" s="3">
        <v>1.46</v>
      </c>
      <c r="G301" s="3">
        <v>1.46</v>
      </c>
      <c r="H301" s="8">
        <v>0</v>
      </c>
      <c r="I301" s="10">
        <v>0</v>
      </c>
      <c r="J301" s="3">
        <v>0</v>
      </c>
    </row>
    <row r="302" spans="1:10">
      <c r="A302" t="s">
        <v>370</v>
      </c>
      <c r="B302" t="s">
        <v>25</v>
      </c>
      <c r="C302" t="s">
        <v>23</v>
      </c>
      <c r="D302" t="s">
        <v>103</v>
      </c>
      <c r="E302" s="8">
        <v>0.1429</v>
      </c>
      <c r="F302" s="3">
        <v>1.46</v>
      </c>
      <c r="G302" s="3">
        <v>1.46</v>
      </c>
      <c r="H302" s="8">
        <v>0</v>
      </c>
      <c r="I302" s="10">
        <v>0</v>
      </c>
      <c r="J302" s="3">
        <v>0</v>
      </c>
    </row>
    <row r="303" spans="1:10">
      <c r="A303" t="s">
        <v>371</v>
      </c>
      <c r="B303" t="s">
        <v>25</v>
      </c>
      <c r="C303" t="s">
        <v>23</v>
      </c>
      <c r="D303" t="s">
        <v>103</v>
      </c>
      <c r="E303" s="8">
        <v>0.3333</v>
      </c>
      <c r="F303" s="3">
        <v>1.45</v>
      </c>
      <c r="G303" s="3">
        <v>1.45</v>
      </c>
      <c r="H303" s="8">
        <v>0</v>
      </c>
      <c r="I303" s="10">
        <v>0</v>
      </c>
      <c r="J303" s="3">
        <v>0</v>
      </c>
    </row>
    <row r="304" spans="1:10">
      <c r="A304" t="s">
        <v>372</v>
      </c>
      <c r="B304" t="s">
        <v>25</v>
      </c>
      <c r="C304" t="s">
        <v>23</v>
      </c>
      <c r="D304" t="s">
        <v>103</v>
      </c>
      <c r="E304" s="8">
        <v>0.3333</v>
      </c>
      <c r="F304" s="3">
        <v>1.45</v>
      </c>
      <c r="G304" s="3">
        <v>1.45</v>
      </c>
      <c r="H304" s="8">
        <v>0</v>
      </c>
      <c r="I304" s="10">
        <v>0</v>
      </c>
      <c r="J304" s="3">
        <v>0</v>
      </c>
    </row>
    <row r="305" spans="1:10">
      <c r="A305" t="s">
        <v>373</v>
      </c>
      <c r="B305" t="s">
        <v>25</v>
      </c>
      <c r="C305" t="s">
        <v>23</v>
      </c>
      <c r="D305" t="s">
        <v>103</v>
      </c>
      <c r="E305" s="8">
        <v>1</v>
      </c>
      <c r="F305" s="3">
        <v>1.43</v>
      </c>
      <c r="G305" s="3">
        <v>1.43</v>
      </c>
      <c r="H305" s="8">
        <v>0</v>
      </c>
      <c r="I305" s="10">
        <v>0</v>
      </c>
      <c r="J305" s="3">
        <v>0</v>
      </c>
    </row>
    <row r="306" spans="1:10">
      <c r="A306" t="s">
        <v>374</v>
      </c>
      <c r="B306" t="s">
        <v>25</v>
      </c>
      <c r="C306" t="s">
        <v>23</v>
      </c>
      <c r="D306" t="s">
        <v>103</v>
      </c>
      <c r="E306" s="8">
        <v>0.1</v>
      </c>
      <c r="F306" s="3">
        <v>1.42</v>
      </c>
      <c r="G306" s="3">
        <v>1.42</v>
      </c>
      <c r="H306" s="8">
        <v>0</v>
      </c>
      <c r="I306" s="10">
        <v>0</v>
      </c>
      <c r="J306" s="3">
        <v>0</v>
      </c>
    </row>
    <row r="307" spans="1:10">
      <c r="A307" t="s">
        <v>375</v>
      </c>
      <c r="B307" t="s">
        <v>25</v>
      </c>
      <c r="C307" t="s">
        <v>23</v>
      </c>
      <c r="D307" t="s">
        <v>103</v>
      </c>
      <c r="E307" s="8">
        <v>1</v>
      </c>
      <c r="F307" s="3">
        <v>1.4</v>
      </c>
      <c r="G307" s="3">
        <v>1.4</v>
      </c>
      <c r="H307" s="8">
        <v>0</v>
      </c>
      <c r="I307" s="10">
        <v>0</v>
      </c>
      <c r="J307" s="3">
        <v>0</v>
      </c>
    </row>
    <row r="308" spans="1:10">
      <c r="A308" t="s">
        <v>178</v>
      </c>
      <c r="B308" t="s">
        <v>25</v>
      </c>
      <c r="C308" t="s">
        <v>23</v>
      </c>
      <c r="D308" t="s">
        <v>103</v>
      </c>
      <c r="E308" s="8">
        <v>0.2</v>
      </c>
      <c r="F308" s="3">
        <v>1.4</v>
      </c>
      <c r="G308" s="3">
        <v>1.4</v>
      </c>
      <c r="H308" s="8">
        <v>0</v>
      </c>
      <c r="I308" s="10">
        <v>0</v>
      </c>
      <c r="J308" s="3">
        <v>0</v>
      </c>
    </row>
    <row r="309" spans="1:10">
      <c r="A309" t="s">
        <v>376</v>
      </c>
      <c r="B309" t="s">
        <v>25</v>
      </c>
      <c r="C309" t="s">
        <v>23</v>
      </c>
      <c r="D309" t="s">
        <v>103</v>
      </c>
      <c r="E309" s="8">
        <v>0.25</v>
      </c>
      <c r="F309" s="3">
        <v>1.39</v>
      </c>
      <c r="G309" s="3">
        <v>1.39</v>
      </c>
      <c r="H309" s="8">
        <v>0</v>
      </c>
      <c r="I309" s="10">
        <v>0</v>
      </c>
      <c r="J309" s="3">
        <v>0</v>
      </c>
    </row>
    <row r="310" spans="1:10">
      <c r="A310" t="s">
        <v>377</v>
      </c>
      <c r="B310" t="s">
        <v>126</v>
      </c>
      <c r="C310" t="s">
        <v>26</v>
      </c>
      <c r="D310" t="s">
        <v>119</v>
      </c>
      <c r="E310" s="8">
        <v>1</v>
      </c>
      <c r="F310" s="3">
        <v>1.38</v>
      </c>
      <c r="G310" s="3">
        <v>1.38</v>
      </c>
      <c r="H310" s="8">
        <v>0</v>
      </c>
      <c r="I310" s="10">
        <v>0</v>
      </c>
      <c r="J310" s="3">
        <v>0</v>
      </c>
    </row>
    <row r="311" spans="1:10">
      <c r="A311" t="s">
        <v>378</v>
      </c>
      <c r="B311" t="s">
        <v>25</v>
      </c>
      <c r="C311" t="s">
        <v>23</v>
      </c>
      <c r="D311" t="s">
        <v>103</v>
      </c>
      <c r="E311" s="8">
        <v>0.5</v>
      </c>
      <c r="F311" s="3">
        <v>1.37</v>
      </c>
      <c r="G311" s="3">
        <v>1.37</v>
      </c>
      <c r="H311" s="8">
        <v>0</v>
      </c>
      <c r="I311" s="10">
        <v>0</v>
      </c>
      <c r="J311" s="3">
        <v>0</v>
      </c>
    </row>
    <row r="312" spans="1:10">
      <c r="A312" t="s">
        <v>379</v>
      </c>
      <c r="B312" t="s">
        <v>25</v>
      </c>
      <c r="C312" t="s">
        <v>23</v>
      </c>
      <c r="D312" t="s">
        <v>103</v>
      </c>
      <c r="E312" s="8">
        <v>1</v>
      </c>
      <c r="F312" s="3">
        <v>1.37</v>
      </c>
      <c r="G312" s="3">
        <v>1.37</v>
      </c>
      <c r="H312" s="8">
        <v>0</v>
      </c>
      <c r="I312" s="10">
        <v>0</v>
      </c>
      <c r="J312" s="3">
        <v>0</v>
      </c>
    </row>
    <row r="313" spans="1:10">
      <c r="A313" t="s">
        <v>380</v>
      </c>
      <c r="B313" t="s">
        <v>25</v>
      </c>
      <c r="C313" t="s">
        <v>23</v>
      </c>
      <c r="D313" t="s">
        <v>103</v>
      </c>
      <c r="E313" s="8">
        <v>1</v>
      </c>
      <c r="F313" s="3">
        <v>1.36</v>
      </c>
      <c r="G313" s="3">
        <v>1.36</v>
      </c>
      <c r="H313" s="8">
        <v>0</v>
      </c>
      <c r="I313" s="10">
        <v>0</v>
      </c>
      <c r="J313" s="3">
        <v>0</v>
      </c>
    </row>
    <row r="314" spans="1:10">
      <c r="A314" t="s">
        <v>381</v>
      </c>
      <c r="B314" t="s">
        <v>25</v>
      </c>
      <c r="C314" t="s">
        <v>23</v>
      </c>
      <c r="D314" t="s">
        <v>103</v>
      </c>
      <c r="E314" s="8">
        <v>0.0667</v>
      </c>
      <c r="F314" s="3">
        <v>1.33</v>
      </c>
      <c r="G314" s="3">
        <v>1.33</v>
      </c>
      <c r="H314" s="8">
        <v>0</v>
      </c>
      <c r="I314" s="10">
        <v>0</v>
      </c>
      <c r="J314" s="3">
        <v>0</v>
      </c>
    </row>
    <row r="315" spans="1:10">
      <c r="A315" t="s">
        <v>382</v>
      </c>
      <c r="B315" t="s">
        <v>25</v>
      </c>
      <c r="C315" t="s">
        <v>23</v>
      </c>
      <c r="D315" t="s">
        <v>103</v>
      </c>
      <c r="E315" s="8">
        <v>0.1429</v>
      </c>
      <c r="F315" s="3">
        <v>1.31</v>
      </c>
      <c r="G315" s="3">
        <v>1.31</v>
      </c>
      <c r="H315" s="8">
        <v>0</v>
      </c>
      <c r="I315" s="10">
        <v>0</v>
      </c>
      <c r="J315" s="3">
        <v>0</v>
      </c>
    </row>
    <row r="316" spans="1:10">
      <c r="A316" t="s">
        <v>383</v>
      </c>
      <c r="B316" t="s">
        <v>25</v>
      </c>
      <c r="C316" t="s">
        <v>23</v>
      </c>
      <c r="D316" t="s">
        <v>103</v>
      </c>
      <c r="E316" s="8">
        <v>1</v>
      </c>
      <c r="F316" s="3">
        <v>1.28</v>
      </c>
      <c r="G316" s="3">
        <v>1.28</v>
      </c>
      <c r="H316" s="8">
        <v>0</v>
      </c>
      <c r="I316" s="10">
        <v>0</v>
      </c>
      <c r="J316" s="3">
        <v>0</v>
      </c>
    </row>
    <row r="317" spans="1:10">
      <c r="A317" t="s">
        <v>384</v>
      </c>
      <c r="B317" t="s">
        <v>25</v>
      </c>
      <c r="C317" t="s">
        <v>23</v>
      </c>
      <c r="D317" t="s">
        <v>103</v>
      </c>
      <c r="E317" s="8">
        <v>0.2</v>
      </c>
      <c r="F317" s="3">
        <v>1.25</v>
      </c>
      <c r="G317" s="3">
        <v>1.25</v>
      </c>
      <c r="H317" s="8">
        <v>0</v>
      </c>
      <c r="I317" s="10">
        <v>0</v>
      </c>
      <c r="J317" s="3">
        <v>0</v>
      </c>
    </row>
    <row r="318" spans="1:10">
      <c r="A318" t="s">
        <v>385</v>
      </c>
      <c r="B318" t="s">
        <v>25</v>
      </c>
      <c r="C318" t="s">
        <v>23</v>
      </c>
      <c r="D318" t="s">
        <v>103</v>
      </c>
      <c r="E318" s="8">
        <v>1</v>
      </c>
      <c r="F318" s="3">
        <v>1.24</v>
      </c>
      <c r="G318" s="3">
        <v>1.24</v>
      </c>
      <c r="H318" s="8">
        <v>0</v>
      </c>
      <c r="I318" s="10">
        <v>0</v>
      </c>
      <c r="J318" s="3">
        <v>0</v>
      </c>
    </row>
    <row r="319" spans="1:10">
      <c r="A319" t="s">
        <v>386</v>
      </c>
      <c r="B319" t="s">
        <v>126</v>
      </c>
      <c r="C319" t="s">
        <v>26</v>
      </c>
      <c r="D319" t="s">
        <v>119</v>
      </c>
      <c r="E319" s="8">
        <v>1</v>
      </c>
      <c r="F319" s="3">
        <v>1.21</v>
      </c>
      <c r="G319" s="3">
        <v>1.21</v>
      </c>
      <c r="H319" s="8">
        <v>0</v>
      </c>
      <c r="I319" s="10">
        <v>0</v>
      </c>
      <c r="J319" s="3">
        <v>0</v>
      </c>
    </row>
    <row r="320" spans="1:10">
      <c r="A320" t="s">
        <v>287</v>
      </c>
      <c r="B320" t="s">
        <v>118</v>
      </c>
      <c r="C320" t="s">
        <v>26</v>
      </c>
      <c r="D320" t="s">
        <v>119</v>
      </c>
      <c r="E320" s="8">
        <v>0.25</v>
      </c>
      <c r="F320" s="3">
        <v>1.21</v>
      </c>
      <c r="G320" s="3">
        <v>1.21</v>
      </c>
      <c r="H320" s="8">
        <v>0</v>
      </c>
      <c r="I320" s="10">
        <v>0</v>
      </c>
      <c r="J320" s="3">
        <v>0</v>
      </c>
    </row>
    <row r="321" spans="1:10">
      <c r="A321" t="s">
        <v>387</v>
      </c>
      <c r="B321" t="s">
        <v>25</v>
      </c>
      <c r="C321" t="s">
        <v>23</v>
      </c>
      <c r="D321" t="s">
        <v>103</v>
      </c>
      <c r="E321" s="8">
        <v>0.3333</v>
      </c>
      <c r="F321" s="3">
        <v>1.21</v>
      </c>
      <c r="G321" s="3">
        <v>1.21</v>
      </c>
      <c r="H321" s="8">
        <v>0</v>
      </c>
      <c r="I321" s="10">
        <v>0</v>
      </c>
      <c r="J321" s="3">
        <v>0</v>
      </c>
    </row>
    <row r="322" spans="1:10">
      <c r="A322" t="s">
        <v>388</v>
      </c>
      <c r="B322" t="s">
        <v>25</v>
      </c>
      <c r="C322" t="s">
        <v>23</v>
      </c>
      <c r="D322" t="s">
        <v>103</v>
      </c>
      <c r="E322" s="8">
        <v>0.25</v>
      </c>
      <c r="F322" s="3">
        <v>1.17</v>
      </c>
      <c r="G322" s="3">
        <v>1.17</v>
      </c>
      <c r="H322" s="8">
        <v>0</v>
      </c>
      <c r="I322" s="10">
        <v>0</v>
      </c>
      <c r="J322" s="3">
        <v>0</v>
      </c>
    </row>
    <row r="323" spans="1:10">
      <c r="A323" t="s">
        <v>389</v>
      </c>
      <c r="B323" t="s">
        <v>25</v>
      </c>
      <c r="C323" t="s">
        <v>23</v>
      </c>
      <c r="D323" t="s">
        <v>103</v>
      </c>
      <c r="E323" s="8">
        <v>0.3333</v>
      </c>
      <c r="F323" s="3">
        <v>1.17</v>
      </c>
      <c r="G323" s="3">
        <v>1.17</v>
      </c>
      <c r="H323" s="8">
        <v>0</v>
      </c>
      <c r="I323" s="10">
        <v>0</v>
      </c>
      <c r="J323" s="3">
        <v>0</v>
      </c>
    </row>
    <row r="324" spans="1:10">
      <c r="A324" t="s">
        <v>390</v>
      </c>
      <c r="B324" t="s">
        <v>25</v>
      </c>
      <c r="C324" t="s">
        <v>23</v>
      </c>
      <c r="D324" t="s">
        <v>103</v>
      </c>
      <c r="E324" s="8">
        <v>0.0345</v>
      </c>
      <c r="F324" s="3">
        <v>1.12</v>
      </c>
      <c r="G324" s="3">
        <v>1.12</v>
      </c>
      <c r="H324" s="8">
        <v>0</v>
      </c>
      <c r="I324" s="10">
        <v>0</v>
      </c>
      <c r="J324" s="3">
        <v>0</v>
      </c>
    </row>
    <row r="325" spans="1:10">
      <c r="A325" t="s">
        <v>391</v>
      </c>
      <c r="B325" t="s">
        <v>126</v>
      </c>
      <c r="C325" t="s">
        <v>26</v>
      </c>
      <c r="D325" t="s">
        <v>111</v>
      </c>
      <c r="E325" s="8">
        <v>1</v>
      </c>
      <c r="F325" s="3">
        <v>1.12</v>
      </c>
      <c r="G325" s="3">
        <v>1.12</v>
      </c>
      <c r="H325" s="8">
        <v>0</v>
      </c>
      <c r="I325" s="10">
        <v>0</v>
      </c>
      <c r="J325" s="3">
        <v>0</v>
      </c>
    </row>
    <row r="326" spans="1:10">
      <c r="A326" t="s">
        <v>392</v>
      </c>
      <c r="B326" t="s">
        <v>25</v>
      </c>
      <c r="C326" t="s">
        <v>23</v>
      </c>
      <c r="D326" t="s">
        <v>103</v>
      </c>
      <c r="E326" s="8">
        <v>0.5</v>
      </c>
      <c r="F326" s="3">
        <v>1.12</v>
      </c>
      <c r="G326" s="3">
        <v>1.12</v>
      </c>
      <c r="H326" s="8">
        <v>0</v>
      </c>
      <c r="I326" s="10">
        <v>0</v>
      </c>
      <c r="J326" s="3">
        <v>0</v>
      </c>
    </row>
    <row r="327" spans="1:10">
      <c r="A327" t="s">
        <v>119</v>
      </c>
      <c r="B327" t="s">
        <v>212</v>
      </c>
      <c r="C327" t="s">
        <v>26</v>
      </c>
      <c r="D327" t="s">
        <v>119</v>
      </c>
      <c r="E327" s="8">
        <v>0.0093</v>
      </c>
      <c r="F327" s="3">
        <v>1.11</v>
      </c>
      <c r="G327" s="3">
        <v>1.11</v>
      </c>
      <c r="H327" s="8">
        <v>0</v>
      </c>
      <c r="I327" s="10">
        <v>0</v>
      </c>
      <c r="J327" s="3">
        <v>0</v>
      </c>
    </row>
    <row r="328" spans="1:10">
      <c r="A328" t="s">
        <v>393</v>
      </c>
      <c r="B328" t="s">
        <v>25</v>
      </c>
      <c r="C328" t="s">
        <v>23</v>
      </c>
      <c r="D328" t="s">
        <v>103</v>
      </c>
      <c r="E328" s="8">
        <v>0.125</v>
      </c>
      <c r="F328" s="3">
        <v>1.07</v>
      </c>
      <c r="G328" s="3">
        <v>1.07</v>
      </c>
      <c r="H328" s="8">
        <v>0</v>
      </c>
      <c r="I328" s="10">
        <v>0</v>
      </c>
      <c r="J328" s="3">
        <v>0</v>
      </c>
    </row>
    <row r="329" spans="1:10">
      <c r="A329" t="s">
        <v>394</v>
      </c>
      <c r="B329" t="s">
        <v>25</v>
      </c>
      <c r="C329" t="s">
        <v>23</v>
      </c>
      <c r="D329" t="s">
        <v>103</v>
      </c>
      <c r="E329" s="8">
        <v>0.0909</v>
      </c>
      <c r="F329" s="3">
        <v>1.05</v>
      </c>
      <c r="G329" s="3">
        <v>1.05</v>
      </c>
      <c r="H329" s="8">
        <v>0</v>
      </c>
      <c r="I329" s="10">
        <v>0</v>
      </c>
      <c r="J329" s="3">
        <v>0</v>
      </c>
    </row>
    <row r="330" spans="1:10">
      <c r="A330" t="s">
        <v>395</v>
      </c>
      <c r="B330" t="s">
        <v>25</v>
      </c>
      <c r="C330" t="s">
        <v>23</v>
      </c>
      <c r="D330" t="s">
        <v>103</v>
      </c>
      <c r="E330" s="8">
        <v>0.1667</v>
      </c>
      <c r="F330" s="3">
        <v>1.04</v>
      </c>
      <c r="G330" s="3">
        <v>1.04</v>
      </c>
      <c r="H330" s="8">
        <v>0</v>
      </c>
      <c r="I330" s="10">
        <v>0</v>
      </c>
      <c r="J330" s="3">
        <v>0</v>
      </c>
    </row>
    <row r="331" spans="1:10">
      <c r="A331" t="s">
        <v>396</v>
      </c>
      <c r="B331" t="s">
        <v>118</v>
      </c>
      <c r="C331" t="s">
        <v>26</v>
      </c>
      <c r="D331" t="s">
        <v>110</v>
      </c>
      <c r="E331" s="8">
        <v>1</v>
      </c>
      <c r="F331" s="3">
        <v>1.03</v>
      </c>
      <c r="G331" s="3">
        <v>1.03</v>
      </c>
      <c r="H331" s="8">
        <v>0</v>
      </c>
      <c r="I331" s="10">
        <v>0</v>
      </c>
      <c r="J331" s="3">
        <v>0</v>
      </c>
    </row>
    <row r="332" spans="1:10">
      <c r="A332" t="s">
        <v>357</v>
      </c>
      <c r="B332" t="s">
        <v>118</v>
      </c>
      <c r="C332" t="s">
        <v>26</v>
      </c>
      <c r="D332" t="s">
        <v>110</v>
      </c>
      <c r="E332" s="8">
        <v>0.0714</v>
      </c>
      <c r="F332" s="3">
        <v>1.03</v>
      </c>
      <c r="G332" s="3">
        <v>1.03</v>
      </c>
      <c r="H332" s="8">
        <v>0</v>
      </c>
      <c r="I332" s="10">
        <v>0</v>
      </c>
      <c r="J332" s="3">
        <v>0</v>
      </c>
    </row>
    <row r="333" spans="1:10">
      <c r="A333" t="s">
        <v>397</v>
      </c>
      <c r="B333" t="s">
        <v>25</v>
      </c>
      <c r="C333" t="s">
        <v>23</v>
      </c>
      <c r="D333" t="s">
        <v>103</v>
      </c>
      <c r="E333" s="8">
        <v>0.0833</v>
      </c>
      <c r="F333" s="3">
        <v>1.03</v>
      </c>
      <c r="G333" s="3">
        <v>1.03</v>
      </c>
      <c r="H333" s="8">
        <v>0</v>
      </c>
      <c r="I333" s="10">
        <v>0</v>
      </c>
      <c r="J333" s="3">
        <v>0</v>
      </c>
    </row>
    <row r="334" spans="1:10">
      <c r="A334" t="s">
        <v>398</v>
      </c>
      <c r="B334" t="s">
        <v>25</v>
      </c>
      <c r="C334" t="s">
        <v>28</v>
      </c>
      <c r="D334" t="s">
        <v>103</v>
      </c>
      <c r="E334" s="8">
        <v>0.125</v>
      </c>
      <c r="F334" s="3">
        <v>1.02</v>
      </c>
      <c r="G334" s="3">
        <v>1.02</v>
      </c>
      <c r="H334" s="8">
        <v>0</v>
      </c>
      <c r="I334" s="10">
        <v>0</v>
      </c>
      <c r="J334" s="3">
        <v>0</v>
      </c>
    </row>
    <row r="335" spans="1:10">
      <c r="A335" t="s">
        <v>351</v>
      </c>
      <c r="B335" t="s">
        <v>25</v>
      </c>
      <c r="C335" t="s">
        <v>23</v>
      </c>
      <c r="D335" t="s">
        <v>103</v>
      </c>
      <c r="E335" s="8">
        <v>0.3333</v>
      </c>
      <c r="F335" s="3">
        <v>0.34</v>
      </c>
      <c r="G335" s="3">
        <v>1.01</v>
      </c>
      <c r="H335" s="8">
        <v>0</v>
      </c>
      <c r="I335" s="10">
        <v>0</v>
      </c>
      <c r="J335" s="3">
        <v>0</v>
      </c>
    </row>
    <row r="336" spans="1:10">
      <c r="A336" t="s">
        <v>399</v>
      </c>
      <c r="B336" t="s">
        <v>25</v>
      </c>
      <c r="C336" t="s">
        <v>23</v>
      </c>
      <c r="D336" t="s">
        <v>103</v>
      </c>
      <c r="E336" s="8">
        <v>1</v>
      </c>
      <c r="F336" s="3">
        <v>1.01</v>
      </c>
      <c r="G336" s="3">
        <v>1.01</v>
      </c>
      <c r="H336" s="8">
        <v>0</v>
      </c>
      <c r="I336" s="10">
        <v>0</v>
      </c>
      <c r="J336" s="3">
        <v>0</v>
      </c>
    </row>
    <row r="337" spans="1:10">
      <c r="A337" t="s">
        <v>400</v>
      </c>
      <c r="B337" t="s">
        <v>25</v>
      </c>
      <c r="C337" t="s">
        <v>23</v>
      </c>
      <c r="D337" t="s">
        <v>103</v>
      </c>
      <c r="E337" s="8">
        <v>0.05</v>
      </c>
      <c r="F337" s="3">
        <v>1.01</v>
      </c>
      <c r="G337" s="3">
        <v>1.01</v>
      </c>
      <c r="H337" s="8">
        <v>0</v>
      </c>
      <c r="I337" s="10">
        <v>0</v>
      </c>
      <c r="J337" s="3">
        <v>0</v>
      </c>
    </row>
    <row r="338" spans="1:10">
      <c r="A338" t="s">
        <v>401</v>
      </c>
      <c r="B338" t="s">
        <v>25</v>
      </c>
      <c r="C338" t="s">
        <v>23</v>
      </c>
      <c r="D338" t="s">
        <v>103</v>
      </c>
      <c r="E338" s="8">
        <v>0.125</v>
      </c>
      <c r="F338" s="3">
        <v>1</v>
      </c>
      <c r="G338" s="3">
        <v>1</v>
      </c>
      <c r="H338" s="8">
        <v>0</v>
      </c>
      <c r="I338" s="10">
        <v>0</v>
      </c>
      <c r="J338" s="3">
        <v>0</v>
      </c>
    </row>
    <row r="339" spans="1:10">
      <c r="A339" s="4" t="s">
        <v>402</v>
      </c>
      <c r="B339" s="4" t="s">
        <v>118</v>
      </c>
      <c r="C339" s="4" t="s">
        <v>26</v>
      </c>
      <c r="D339" t="s">
        <v>110</v>
      </c>
      <c r="E339" s="8">
        <v>0.5</v>
      </c>
      <c r="F339" s="3">
        <v>1</v>
      </c>
      <c r="G339" s="3">
        <v>1</v>
      </c>
      <c r="H339" s="8">
        <v>0</v>
      </c>
      <c r="I339" s="10">
        <v>0</v>
      </c>
      <c r="J339" s="3">
        <v>0</v>
      </c>
    </row>
    <row r="340" spans="1:10">
      <c r="A340" s="4" t="s">
        <v>403</v>
      </c>
      <c r="B340" s="4" t="s">
        <v>25</v>
      </c>
      <c r="C340" s="4" t="s">
        <v>23</v>
      </c>
      <c r="D340" t="s">
        <v>103</v>
      </c>
      <c r="E340" s="8">
        <v>0.1429</v>
      </c>
      <c r="F340" s="3">
        <v>1</v>
      </c>
      <c r="G340" s="3">
        <v>1</v>
      </c>
      <c r="H340" s="8">
        <v>0</v>
      </c>
      <c r="I340" s="10">
        <v>0</v>
      </c>
      <c r="J340" s="3">
        <v>0</v>
      </c>
    </row>
    <row r="341" spans="1:10">
      <c r="A341" s="4" t="s">
        <v>404</v>
      </c>
      <c r="B341" s="4" t="s">
        <v>25</v>
      </c>
      <c r="C341" s="4" t="s">
        <v>23</v>
      </c>
      <c r="D341" t="s">
        <v>103</v>
      </c>
      <c r="E341" s="8">
        <v>0.5</v>
      </c>
      <c r="F341" s="3">
        <v>1</v>
      </c>
      <c r="G341" s="3">
        <v>1</v>
      </c>
      <c r="H341" s="8">
        <v>0</v>
      </c>
      <c r="I341" s="10">
        <v>0</v>
      </c>
      <c r="J341" s="3">
        <v>0</v>
      </c>
    </row>
    <row r="342" spans="1:10">
      <c r="A342" s="4" t="s">
        <v>405</v>
      </c>
      <c r="B342" s="4" t="s">
        <v>25</v>
      </c>
      <c r="C342" s="4" t="s">
        <v>23</v>
      </c>
      <c r="D342" t="s">
        <v>103</v>
      </c>
      <c r="E342" s="8">
        <v>0.0213</v>
      </c>
      <c r="F342" s="3">
        <v>0.98</v>
      </c>
      <c r="G342" s="3">
        <v>0.98</v>
      </c>
      <c r="H342" s="8">
        <v>0</v>
      </c>
      <c r="I342" s="10">
        <v>0</v>
      </c>
      <c r="J342" s="3">
        <v>0</v>
      </c>
    </row>
    <row r="343" spans="1:10">
      <c r="A343" s="4" t="s">
        <v>406</v>
      </c>
      <c r="B343" s="4" t="s">
        <v>25</v>
      </c>
      <c r="C343" s="4" t="s">
        <v>23</v>
      </c>
      <c r="D343" t="s">
        <v>103</v>
      </c>
      <c r="E343" s="8">
        <v>0.3333</v>
      </c>
      <c r="F343" s="3">
        <v>0.98</v>
      </c>
      <c r="G343" s="3">
        <v>0.98</v>
      </c>
      <c r="H343" s="8">
        <v>0</v>
      </c>
      <c r="I343" s="10">
        <v>0</v>
      </c>
      <c r="J343" s="3">
        <v>0</v>
      </c>
    </row>
    <row r="344" spans="1:10">
      <c r="A344" s="4" t="s">
        <v>407</v>
      </c>
      <c r="B344" s="4" t="s">
        <v>25</v>
      </c>
      <c r="C344" s="4" t="s">
        <v>23</v>
      </c>
      <c r="D344" t="s">
        <v>103</v>
      </c>
      <c r="E344" s="8">
        <v>1</v>
      </c>
      <c r="F344" s="3">
        <v>0.96</v>
      </c>
      <c r="G344" s="3">
        <v>0.96</v>
      </c>
      <c r="H344" s="8">
        <v>0</v>
      </c>
      <c r="I344" s="10">
        <v>0</v>
      </c>
      <c r="J344" s="3">
        <v>0</v>
      </c>
    </row>
    <row r="345" spans="1:10">
      <c r="A345" s="4" t="s">
        <v>408</v>
      </c>
      <c r="B345" s="4" t="s">
        <v>118</v>
      </c>
      <c r="C345" s="4" t="s">
        <v>26</v>
      </c>
      <c r="D345" t="s">
        <v>119</v>
      </c>
      <c r="E345" s="8">
        <v>1</v>
      </c>
      <c r="F345" s="3">
        <v>0.95</v>
      </c>
      <c r="G345" s="3">
        <v>0.95</v>
      </c>
      <c r="H345" s="8">
        <v>0</v>
      </c>
      <c r="I345" s="10">
        <v>0</v>
      </c>
      <c r="J345" s="3">
        <v>0</v>
      </c>
    </row>
    <row r="346" spans="1:10">
      <c r="A346" s="4" t="s">
        <v>409</v>
      </c>
      <c r="B346" s="4" t="s">
        <v>25</v>
      </c>
      <c r="C346" s="4" t="s">
        <v>23</v>
      </c>
      <c r="D346" t="s">
        <v>103</v>
      </c>
      <c r="E346" s="8">
        <v>0.0667</v>
      </c>
      <c r="F346" s="3">
        <v>0.92</v>
      </c>
      <c r="G346" s="3">
        <v>0.92</v>
      </c>
      <c r="H346" s="8">
        <v>0</v>
      </c>
      <c r="I346" s="10">
        <v>0</v>
      </c>
      <c r="J346" s="3">
        <v>0</v>
      </c>
    </row>
    <row r="347" spans="1:10">
      <c r="A347" s="4" t="s">
        <v>410</v>
      </c>
      <c r="B347" s="4" t="s">
        <v>25</v>
      </c>
      <c r="C347" s="4" t="s">
        <v>23</v>
      </c>
      <c r="D347" t="s">
        <v>103</v>
      </c>
      <c r="E347" s="8">
        <v>0.3333</v>
      </c>
      <c r="F347" s="3">
        <v>0.91</v>
      </c>
      <c r="G347" s="3">
        <v>0.91</v>
      </c>
      <c r="H347" s="8">
        <v>0</v>
      </c>
      <c r="I347" s="10">
        <v>0</v>
      </c>
      <c r="J347" s="3">
        <v>0</v>
      </c>
    </row>
    <row r="348" spans="1:10">
      <c r="A348" s="4" t="s">
        <v>411</v>
      </c>
      <c r="B348" s="4" t="s">
        <v>25</v>
      </c>
      <c r="C348" s="4" t="s">
        <v>23</v>
      </c>
      <c r="D348" t="s">
        <v>103</v>
      </c>
      <c r="E348" s="8">
        <v>1</v>
      </c>
      <c r="F348" s="3">
        <v>0.89</v>
      </c>
      <c r="G348" s="3">
        <v>0.89</v>
      </c>
      <c r="H348" s="8">
        <v>0</v>
      </c>
      <c r="I348" s="10">
        <v>0</v>
      </c>
      <c r="J348" s="3">
        <v>0</v>
      </c>
    </row>
    <row r="349" spans="1:10">
      <c r="A349" s="4" t="s">
        <v>412</v>
      </c>
      <c r="B349" s="4" t="s">
        <v>126</v>
      </c>
      <c r="C349" s="4" t="s">
        <v>26</v>
      </c>
      <c r="D349" t="s">
        <v>119</v>
      </c>
      <c r="E349" s="8">
        <v>0.1667</v>
      </c>
      <c r="F349" s="3">
        <v>0.88</v>
      </c>
      <c r="G349" s="3">
        <v>0.88</v>
      </c>
      <c r="H349" s="8">
        <v>0</v>
      </c>
      <c r="I349" s="10">
        <v>0</v>
      </c>
      <c r="J349" s="3">
        <v>0</v>
      </c>
    </row>
    <row r="350" spans="1:10">
      <c r="A350" s="4" t="s">
        <v>413</v>
      </c>
      <c r="B350" s="4" t="s">
        <v>25</v>
      </c>
      <c r="C350" s="4" t="s">
        <v>23</v>
      </c>
      <c r="D350" t="s">
        <v>103</v>
      </c>
      <c r="E350" s="8">
        <v>0.5</v>
      </c>
      <c r="F350" s="3">
        <v>0.88</v>
      </c>
      <c r="G350" s="3">
        <v>0.88</v>
      </c>
      <c r="H350" s="8">
        <v>0</v>
      </c>
      <c r="I350" s="10">
        <v>0</v>
      </c>
      <c r="J350" s="3">
        <v>0</v>
      </c>
    </row>
    <row r="351" spans="1:10">
      <c r="A351" s="4" t="s">
        <v>414</v>
      </c>
      <c r="B351" s="4" t="s">
        <v>25</v>
      </c>
      <c r="C351" s="4" t="s">
        <v>23</v>
      </c>
      <c r="D351" t="s">
        <v>103</v>
      </c>
      <c r="E351" s="8">
        <v>0.5</v>
      </c>
      <c r="F351" s="3">
        <v>0.87</v>
      </c>
      <c r="G351" s="3">
        <v>0.87</v>
      </c>
      <c r="H351" s="8">
        <v>0</v>
      </c>
      <c r="I351" s="10">
        <v>0</v>
      </c>
      <c r="J351" s="3">
        <v>0</v>
      </c>
    </row>
    <row r="352" spans="1:10">
      <c r="A352" s="4" t="s">
        <v>415</v>
      </c>
      <c r="B352" s="4" t="s">
        <v>25</v>
      </c>
      <c r="C352" s="4" t="s">
        <v>23</v>
      </c>
      <c r="D352" t="s">
        <v>103</v>
      </c>
      <c r="E352" s="8">
        <v>0.5</v>
      </c>
      <c r="F352" s="3">
        <v>0.86</v>
      </c>
      <c r="G352" s="3">
        <v>0.86</v>
      </c>
      <c r="H352" s="8">
        <v>0</v>
      </c>
      <c r="I352" s="10">
        <v>0</v>
      </c>
      <c r="J352" s="3">
        <v>0</v>
      </c>
    </row>
    <row r="353" spans="1:10">
      <c r="A353" s="4" t="s">
        <v>416</v>
      </c>
      <c r="B353" s="4" t="s">
        <v>25</v>
      </c>
      <c r="C353" s="4" t="s">
        <v>23</v>
      </c>
      <c r="D353" t="s">
        <v>103</v>
      </c>
      <c r="E353" s="8">
        <v>1</v>
      </c>
      <c r="F353" s="3">
        <v>0.83</v>
      </c>
      <c r="G353" s="3">
        <v>0.83</v>
      </c>
      <c r="H353" s="8">
        <v>0</v>
      </c>
      <c r="I353" s="10">
        <v>0</v>
      </c>
      <c r="J353" s="3">
        <v>0</v>
      </c>
    </row>
    <row r="354" spans="1:10">
      <c r="A354" s="4" t="s">
        <v>417</v>
      </c>
      <c r="B354" s="4" t="s">
        <v>25</v>
      </c>
      <c r="C354" s="4" t="s">
        <v>23</v>
      </c>
      <c r="D354" t="s">
        <v>103</v>
      </c>
      <c r="E354" s="8">
        <v>1</v>
      </c>
      <c r="F354" s="3">
        <v>0.83</v>
      </c>
      <c r="G354" s="3">
        <v>0.83</v>
      </c>
      <c r="H354" s="8">
        <v>0</v>
      </c>
      <c r="I354" s="10">
        <v>0</v>
      </c>
      <c r="J354" s="3">
        <v>0</v>
      </c>
    </row>
    <row r="355" spans="1:10">
      <c r="A355" s="4" t="s">
        <v>418</v>
      </c>
      <c r="B355" s="4" t="s">
        <v>25</v>
      </c>
      <c r="C355" s="4" t="s">
        <v>23</v>
      </c>
      <c r="D355" t="s">
        <v>103</v>
      </c>
      <c r="E355" s="8">
        <v>0.5</v>
      </c>
      <c r="F355" s="3">
        <v>0.83</v>
      </c>
      <c r="G355" s="3">
        <v>0.83</v>
      </c>
      <c r="H355" s="8">
        <v>0</v>
      </c>
      <c r="I355" s="10">
        <v>0</v>
      </c>
      <c r="J355" s="3">
        <v>0</v>
      </c>
    </row>
    <row r="356" spans="1:10">
      <c r="A356" s="4" t="s">
        <v>419</v>
      </c>
      <c r="B356" s="4" t="s">
        <v>25</v>
      </c>
      <c r="C356" s="4" t="s">
        <v>23</v>
      </c>
      <c r="D356" t="s">
        <v>103</v>
      </c>
      <c r="E356" s="8">
        <v>0.125</v>
      </c>
      <c r="F356" s="3">
        <v>0.82</v>
      </c>
      <c r="G356" s="3">
        <v>0.82</v>
      </c>
      <c r="H356" s="8">
        <v>0</v>
      </c>
      <c r="I356" s="10">
        <v>0</v>
      </c>
      <c r="J356" s="3">
        <v>0</v>
      </c>
    </row>
    <row r="357" spans="1:10">
      <c r="A357" s="4" t="s">
        <v>420</v>
      </c>
      <c r="B357" s="4" t="s">
        <v>25</v>
      </c>
      <c r="C357" s="4" t="s">
        <v>23</v>
      </c>
      <c r="D357" t="s">
        <v>103</v>
      </c>
      <c r="E357" s="8">
        <v>1</v>
      </c>
      <c r="F357" s="3">
        <v>0.81</v>
      </c>
      <c r="G357" s="3">
        <v>0.81</v>
      </c>
      <c r="H357" s="8">
        <v>0</v>
      </c>
      <c r="I357" s="10">
        <v>0</v>
      </c>
      <c r="J357" s="3">
        <v>0</v>
      </c>
    </row>
    <row r="358" spans="1:10">
      <c r="A358" s="4" t="s">
        <v>421</v>
      </c>
      <c r="B358" s="4" t="s">
        <v>118</v>
      </c>
      <c r="C358" s="4" t="s">
        <v>26</v>
      </c>
      <c r="D358" t="s">
        <v>119</v>
      </c>
      <c r="E358" s="8">
        <v>0.5</v>
      </c>
      <c r="F358" s="3">
        <v>0.8</v>
      </c>
      <c r="G358" s="3">
        <v>0.8</v>
      </c>
      <c r="H358" s="8">
        <v>0</v>
      </c>
      <c r="I358" s="10">
        <v>0</v>
      </c>
      <c r="J358" s="3">
        <v>0</v>
      </c>
    </row>
    <row r="359" spans="1:10">
      <c r="A359" s="4" t="s">
        <v>422</v>
      </c>
      <c r="B359" s="4" t="s">
        <v>25</v>
      </c>
      <c r="C359" s="4" t="s">
        <v>23</v>
      </c>
      <c r="D359" t="s">
        <v>103</v>
      </c>
      <c r="E359" s="8">
        <v>0.5</v>
      </c>
      <c r="F359" s="3">
        <v>0.8</v>
      </c>
      <c r="G359" s="3">
        <v>0.8</v>
      </c>
      <c r="H359" s="8">
        <v>0</v>
      </c>
      <c r="I359" s="10">
        <v>0</v>
      </c>
      <c r="J359" s="3">
        <v>0</v>
      </c>
    </row>
    <row r="360" spans="1:10">
      <c r="A360" s="4" t="s">
        <v>423</v>
      </c>
      <c r="B360" s="4" t="s">
        <v>25</v>
      </c>
      <c r="C360" s="4" t="s">
        <v>23</v>
      </c>
      <c r="D360" t="s">
        <v>103</v>
      </c>
      <c r="E360" s="8">
        <v>1</v>
      </c>
      <c r="F360" s="3">
        <v>0.78</v>
      </c>
      <c r="G360" s="3">
        <v>0.78</v>
      </c>
      <c r="H360" s="8">
        <v>0</v>
      </c>
      <c r="I360" s="10">
        <v>0</v>
      </c>
      <c r="J360" s="3">
        <v>0</v>
      </c>
    </row>
    <row r="361" spans="1:10">
      <c r="A361" s="4" t="s">
        <v>424</v>
      </c>
      <c r="B361" s="4" t="s">
        <v>25</v>
      </c>
      <c r="C361" s="4" t="s">
        <v>23</v>
      </c>
      <c r="D361" t="s">
        <v>103</v>
      </c>
      <c r="E361" s="8">
        <v>0.5</v>
      </c>
      <c r="F361" s="3">
        <v>0.78</v>
      </c>
      <c r="G361" s="3">
        <v>0.78</v>
      </c>
      <c r="H361" s="8">
        <v>0</v>
      </c>
      <c r="I361" s="10">
        <v>0</v>
      </c>
      <c r="J361" s="3">
        <v>0</v>
      </c>
    </row>
    <row r="362" spans="1:10">
      <c r="A362" s="4" t="s">
        <v>425</v>
      </c>
      <c r="B362" s="4" t="s">
        <v>25</v>
      </c>
      <c r="C362" s="4" t="s">
        <v>23</v>
      </c>
      <c r="D362" t="s">
        <v>103</v>
      </c>
      <c r="E362" s="8">
        <v>1</v>
      </c>
      <c r="F362" s="3">
        <v>0.77</v>
      </c>
      <c r="G362" s="3">
        <v>0.77</v>
      </c>
      <c r="H362" s="8">
        <v>0</v>
      </c>
      <c r="I362" s="10">
        <v>0</v>
      </c>
      <c r="J362" s="3">
        <v>0</v>
      </c>
    </row>
    <row r="363" spans="1:10">
      <c r="A363" s="4" t="s">
        <v>426</v>
      </c>
      <c r="B363" s="4" t="s">
        <v>25</v>
      </c>
      <c r="C363" s="4" t="s">
        <v>23</v>
      </c>
      <c r="D363" t="s">
        <v>103</v>
      </c>
      <c r="E363" s="8">
        <v>0.3333</v>
      </c>
      <c r="F363" s="3">
        <v>0.76</v>
      </c>
      <c r="G363" s="3">
        <v>0.76</v>
      </c>
      <c r="H363" s="8">
        <v>0</v>
      </c>
      <c r="I363" s="10">
        <v>0</v>
      </c>
      <c r="J363" s="3">
        <v>0</v>
      </c>
    </row>
    <row r="364" spans="1:10">
      <c r="A364" s="4" t="s">
        <v>427</v>
      </c>
      <c r="B364" s="4" t="s">
        <v>25</v>
      </c>
      <c r="C364" s="4" t="s">
        <v>23</v>
      </c>
      <c r="D364" t="s">
        <v>103</v>
      </c>
      <c r="E364" s="8">
        <v>0.5</v>
      </c>
      <c r="F364" s="3">
        <v>0.76</v>
      </c>
      <c r="G364" s="3">
        <v>0.76</v>
      </c>
      <c r="H364" s="8">
        <v>0</v>
      </c>
      <c r="I364" s="10">
        <v>0</v>
      </c>
      <c r="J364" s="3">
        <v>0</v>
      </c>
    </row>
    <row r="365" spans="1:10">
      <c r="A365" s="4" t="s">
        <v>428</v>
      </c>
      <c r="B365" s="4" t="s">
        <v>25</v>
      </c>
      <c r="C365" s="4" t="s">
        <v>23</v>
      </c>
      <c r="D365" t="s">
        <v>103</v>
      </c>
      <c r="E365" s="8">
        <v>0.1667</v>
      </c>
      <c r="F365" s="3">
        <v>0.75</v>
      </c>
      <c r="G365" s="3">
        <v>0.75</v>
      </c>
      <c r="H365" s="8">
        <v>1</v>
      </c>
      <c r="I365" s="10">
        <v>1</v>
      </c>
      <c r="J365" s="3">
        <v>0.75</v>
      </c>
    </row>
    <row r="366" spans="1:10">
      <c r="A366" s="4" t="s">
        <v>429</v>
      </c>
      <c r="B366" s="4" t="s">
        <v>25</v>
      </c>
      <c r="C366" s="4" t="s">
        <v>23</v>
      </c>
      <c r="D366" t="s">
        <v>103</v>
      </c>
      <c r="E366" s="8">
        <v>1</v>
      </c>
      <c r="F366" s="3">
        <v>0.75</v>
      </c>
      <c r="G366" s="3">
        <v>0.75</v>
      </c>
      <c r="H366" s="8">
        <v>0</v>
      </c>
      <c r="I366" s="10">
        <v>0</v>
      </c>
      <c r="J366" s="3">
        <v>0</v>
      </c>
    </row>
    <row r="367" spans="1:10">
      <c r="A367" s="4" t="s">
        <v>430</v>
      </c>
      <c r="B367" s="4" t="s">
        <v>25</v>
      </c>
      <c r="C367" s="4" t="s">
        <v>23</v>
      </c>
      <c r="D367" t="s">
        <v>103</v>
      </c>
      <c r="E367" s="8">
        <v>1</v>
      </c>
      <c r="F367" s="3">
        <v>0.75</v>
      </c>
      <c r="G367" s="3">
        <v>0.75</v>
      </c>
      <c r="H367" s="8">
        <v>0</v>
      </c>
      <c r="I367" s="10">
        <v>0</v>
      </c>
      <c r="J367" s="3">
        <v>0</v>
      </c>
    </row>
    <row r="368" spans="1:10">
      <c r="A368" s="4" t="s">
        <v>431</v>
      </c>
      <c r="B368" s="4" t="s">
        <v>25</v>
      </c>
      <c r="C368" s="4" t="s">
        <v>23</v>
      </c>
      <c r="D368" t="s">
        <v>103</v>
      </c>
      <c r="E368" s="8">
        <v>1</v>
      </c>
      <c r="F368" s="3">
        <v>0.37</v>
      </c>
      <c r="G368" s="3">
        <v>0.74</v>
      </c>
      <c r="H368" s="8">
        <v>0</v>
      </c>
      <c r="I368" s="10">
        <v>0</v>
      </c>
      <c r="J368" s="3">
        <v>0</v>
      </c>
    </row>
    <row r="369" spans="1:10">
      <c r="A369" s="4" t="s">
        <v>432</v>
      </c>
      <c r="B369" s="4" t="s">
        <v>25</v>
      </c>
      <c r="C369" s="4" t="s">
        <v>23</v>
      </c>
      <c r="D369" t="s">
        <v>103</v>
      </c>
      <c r="E369" s="8">
        <v>0.25</v>
      </c>
      <c r="F369" s="3">
        <v>0.73</v>
      </c>
      <c r="G369" s="3">
        <v>0.73</v>
      </c>
      <c r="H369" s="8">
        <v>0</v>
      </c>
      <c r="I369" s="10">
        <v>0</v>
      </c>
      <c r="J369" s="3">
        <v>0</v>
      </c>
    </row>
    <row r="370" spans="1:10">
      <c r="A370" s="4" t="s">
        <v>433</v>
      </c>
      <c r="B370" s="4" t="s">
        <v>25</v>
      </c>
      <c r="C370" s="4" t="s">
        <v>23</v>
      </c>
      <c r="D370" t="s">
        <v>103</v>
      </c>
      <c r="E370" s="8">
        <v>0.5</v>
      </c>
      <c r="F370" s="3">
        <v>0.72</v>
      </c>
      <c r="G370" s="3">
        <v>0.72</v>
      </c>
      <c r="H370" s="8">
        <v>0</v>
      </c>
      <c r="I370" s="10">
        <v>0</v>
      </c>
      <c r="J370" s="3">
        <v>0</v>
      </c>
    </row>
    <row r="371" spans="1:10">
      <c r="A371" s="4" t="s">
        <v>434</v>
      </c>
      <c r="B371" s="4" t="s">
        <v>25</v>
      </c>
      <c r="C371" s="4" t="s">
        <v>23</v>
      </c>
      <c r="D371" t="s">
        <v>103</v>
      </c>
      <c r="E371" s="8">
        <v>1</v>
      </c>
      <c r="F371" s="3">
        <v>0.69</v>
      </c>
      <c r="G371" s="3">
        <v>0.69</v>
      </c>
      <c r="H371" s="8">
        <v>0</v>
      </c>
      <c r="I371" s="10">
        <v>0</v>
      </c>
      <c r="J371" s="3">
        <v>0</v>
      </c>
    </row>
    <row r="372" spans="1:10">
      <c r="A372" s="4" t="s">
        <v>435</v>
      </c>
      <c r="B372" s="4" t="s">
        <v>25</v>
      </c>
      <c r="C372" s="4" t="s">
        <v>23</v>
      </c>
      <c r="D372" t="s">
        <v>103</v>
      </c>
      <c r="E372" s="8">
        <v>1</v>
      </c>
      <c r="F372" s="3">
        <v>0.69</v>
      </c>
      <c r="G372" s="3">
        <v>0.69</v>
      </c>
      <c r="H372" s="8">
        <v>0</v>
      </c>
      <c r="I372" s="10">
        <v>0</v>
      </c>
      <c r="J372" s="3">
        <v>0</v>
      </c>
    </row>
    <row r="373" spans="1:10">
      <c r="A373" s="4" t="s">
        <v>436</v>
      </c>
      <c r="B373" s="4" t="s">
        <v>25</v>
      </c>
      <c r="C373" s="4" t="s">
        <v>23</v>
      </c>
      <c r="D373" t="s">
        <v>103</v>
      </c>
      <c r="E373" s="8">
        <v>0.0909</v>
      </c>
      <c r="F373" s="3">
        <v>0.69</v>
      </c>
      <c r="G373" s="3">
        <v>0.69</v>
      </c>
      <c r="H373" s="8">
        <v>0</v>
      </c>
      <c r="I373" s="10">
        <v>0</v>
      </c>
      <c r="J373" s="3">
        <v>0</v>
      </c>
    </row>
    <row r="374" spans="1:10">
      <c r="A374" s="4" t="s">
        <v>437</v>
      </c>
      <c r="B374" s="4" t="s">
        <v>25</v>
      </c>
      <c r="C374" s="4" t="s">
        <v>23</v>
      </c>
      <c r="D374" t="s">
        <v>103</v>
      </c>
      <c r="E374" s="8">
        <v>0.5</v>
      </c>
      <c r="F374" s="3">
        <v>0.69</v>
      </c>
      <c r="G374" s="3">
        <v>0.69</v>
      </c>
      <c r="H374" s="8">
        <v>0</v>
      </c>
      <c r="I374" s="10">
        <v>0</v>
      </c>
      <c r="J374" s="3">
        <v>0</v>
      </c>
    </row>
    <row r="375" spans="1:10">
      <c r="A375" s="4" t="s">
        <v>412</v>
      </c>
      <c r="B375" s="4" t="s">
        <v>126</v>
      </c>
      <c r="C375" s="4" t="s">
        <v>26</v>
      </c>
      <c r="D375" t="s">
        <v>119</v>
      </c>
      <c r="E375" s="8">
        <v>0.0909</v>
      </c>
      <c r="F375" s="3">
        <v>0.65</v>
      </c>
      <c r="G375" s="3">
        <v>0.65</v>
      </c>
      <c r="H375" s="8">
        <v>0</v>
      </c>
      <c r="I375" s="10">
        <v>0</v>
      </c>
      <c r="J375" s="3">
        <v>0</v>
      </c>
    </row>
    <row r="376" spans="1:10">
      <c r="A376" s="4" t="s">
        <v>438</v>
      </c>
      <c r="B376" s="4" t="s">
        <v>25</v>
      </c>
      <c r="C376" s="4" t="s">
        <v>23</v>
      </c>
      <c r="D376" t="s">
        <v>103</v>
      </c>
      <c r="E376" s="8">
        <v>0.3333</v>
      </c>
      <c r="F376" s="3">
        <v>0.64</v>
      </c>
      <c r="G376" s="3">
        <v>0.64</v>
      </c>
      <c r="H376" s="8">
        <v>0</v>
      </c>
      <c r="I376" s="10">
        <v>0</v>
      </c>
      <c r="J376" s="3">
        <v>0</v>
      </c>
    </row>
    <row r="377" spans="1:10">
      <c r="A377" s="4" t="s">
        <v>439</v>
      </c>
      <c r="B377" s="4" t="s">
        <v>25</v>
      </c>
      <c r="C377" s="4" t="s">
        <v>23</v>
      </c>
      <c r="D377" t="s">
        <v>103</v>
      </c>
      <c r="E377" s="8">
        <v>0.25</v>
      </c>
      <c r="F377" s="3">
        <v>0.62</v>
      </c>
      <c r="G377" s="3">
        <v>0.62</v>
      </c>
      <c r="H377" s="8">
        <v>0</v>
      </c>
      <c r="I377" s="10">
        <v>0</v>
      </c>
      <c r="J377" s="3">
        <v>0</v>
      </c>
    </row>
    <row r="378" spans="1:10">
      <c r="A378" s="4" t="s">
        <v>440</v>
      </c>
      <c r="B378" s="4" t="s">
        <v>25</v>
      </c>
      <c r="C378" s="4" t="s">
        <v>23</v>
      </c>
      <c r="D378" t="s">
        <v>103</v>
      </c>
      <c r="E378" s="8">
        <v>1</v>
      </c>
      <c r="F378" s="3">
        <v>0.59</v>
      </c>
      <c r="G378" s="3">
        <v>0.59</v>
      </c>
      <c r="H378" s="8">
        <v>0</v>
      </c>
      <c r="I378" s="10">
        <v>0</v>
      </c>
      <c r="J378" s="3">
        <v>0</v>
      </c>
    </row>
    <row r="379" spans="1:10">
      <c r="A379" s="4" t="s">
        <v>441</v>
      </c>
      <c r="B379" s="4" t="s">
        <v>25</v>
      </c>
      <c r="C379" s="4" t="s">
        <v>23</v>
      </c>
      <c r="D379" t="s">
        <v>103</v>
      </c>
      <c r="E379" s="8">
        <v>0.2</v>
      </c>
      <c r="F379" s="3">
        <v>0.58</v>
      </c>
      <c r="G379" s="3">
        <v>0.58</v>
      </c>
      <c r="H379" s="8">
        <v>0</v>
      </c>
      <c r="I379" s="10">
        <v>0</v>
      </c>
      <c r="J379" s="3">
        <v>0</v>
      </c>
    </row>
    <row r="380" spans="1:10">
      <c r="A380" s="4" t="s">
        <v>442</v>
      </c>
      <c r="B380" s="4" t="s">
        <v>25</v>
      </c>
      <c r="C380" s="4" t="s">
        <v>23</v>
      </c>
      <c r="D380" t="s">
        <v>103</v>
      </c>
      <c r="E380" s="8">
        <v>0.1429</v>
      </c>
      <c r="F380" s="3">
        <v>0.57</v>
      </c>
      <c r="G380" s="3">
        <v>0.57</v>
      </c>
      <c r="H380" s="8">
        <v>0</v>
      </c>
      <c r="I380" s="10">
        <v>0</v>
      </c>
      <c r="J380" s="3">
        <v>0</v>
      </c>
    </row>
    <row r="381" spans="1:10">
      <c r="A381" s="4" t="s">
        <v>443</v>
      </c>
      <c r="B381" s="4" t="s">
        <v>25</v>
      </c>
      <c r="C381" s="4" t="s">
        <v>23</v>
      </c>
      <c r="D381" t="s">
        <v>103</v>
      </c>
      <c r="E381" s="8">
        <v>0.25</v>
      </c>
      <c r="F381" s="3">
        <v>0.56</v>
      </c>
      <c r="G381" s="3">
        <v>0.56</v>
      </c>
      <c r="H381" s="8">
        <v>0</v>
      </c>
      <c r="I381" s="10">
        <v>0</v>
      </c>
      <c r="J381" s="3">
        <v>0</v>
      </c>
    </row>
    <row r="382" spans="1:10">
      <c r="A382" s="4" t="s">
        <v>444</v>
      </c>
      <c r="B382" s="4" t="s">
        <v>25</v>
      </c>
      <c r="C382" s="4" t="s">
        <v>28</v>
      </c>
      <c r="D382" t="s">
        <v>103</v>
      </c>
      <c r="E382" s="8">
        <v>0.5</v>
      </c>
      <c r="F382" s="3">
        <v>0.56</v>
      </c>
      <c r="G382" s="3">
        <v>0.56</v>
      </c>
      <c r="H382" s="8">
        <v>0</v>
      </c>
      <c r="I382" s="10">
        <v>0</v>
      </c>
      <c r="J382" s="3">
        <v>0</v>
      </c>
    </row>
    <row r="383" spans="1:10">
      <c r="A383" s="4" t="s">
        <v>445</v>
      </c>
      <c r="B383" s="4" t="s">
        <v>25</v>
      </c>
      <c r="C383" s="4" t="s">
        <v>23</v>
      </c>
      <c r="D383" t="s">
        <v>103</v>
      </c>
      <c r="E383" s="8">
        <v>1</v>
      </c>
      <c r="F383" s="3">
        <v>0.55</v>
      </c>
      <c r="G383" s="3">
        <v>0.55</v>
      </c>
      <c r="H383" s="8">
        <v>0</v>
      </c>
      <c r="I383" s="10">
        <v>0</v>
      </c>
      <c r="J383" s="3">
        <v>0</v>
      </c>
    </row>
    <row r="384" spans="1:10">
      <c r="A384" s="4" t="s">
        <v>446</v>
      </c>
      <c r="B384" s="4" t="s">
        <v>25</v>
      </c>
      <c r="C384" s="4" t="s">
        <v>23</v>
      </c>
      <c r="D384" t="s">
        <v>103</v>
      </c>
      <c r="E384" s="8">
        <v>0.3333</v>
      </c>
      <c r="F384" s="3">
        <v>0.55</v>
      </c>
      <c r="G384" s="3">
        <v>0.55</v>
      </c>
      <c r="H384" s="8">
        <v>0</v>
      </c>
      <c r="I384" s="10">
        <v>0</v>
      </c>
      <c r="J384" s="3">
        <v>0</v>
      </c>
    </row>
    <row r="385" spans="1:10">
      <c r="A385" s="4" t="s">
        <v>447</v>
      </c>
      <c r="B385" s="4" t="s">
        <v>25</v>
      </c>
      <c r="C385" s="4" t="s">
        <v>23</v>
      </c>
      <c r="D385" t="s">
        <v>103</v>
      </c>
      <c r="E385" s="8">
        <v>0.5</v>
      </c>
      <c r="F385" s="3">
        <v>0.53</v>
      </c>
      <c r="G385" s="3">
        <v>0.53</v>
      </c>
      <c r="H385" s="8">
        <v>0</v>
      </c>
      <c r="I385" s="10">
        <v>0</v>
      </c>
      <c r="J385" s="3">
        <v>0</v>
      </c>
    </row>
    <row r="386" spans="1:10">
      <c r="A386" s="4" t="s">
        <v>448</v>
      </c>
      <c r="B386" s="4" t="s">
        <v>25</v>
      </c>
      <c r="C386" s="4" t="s">
        <v>23</v>
      </c>
      <c r="D386" t="s">
        <v>103</v>
      </c>
      <c r="E386" s="8">
        <v>0.2</v>
      </c>
      <c r="F386" s="3">
        <v>0.52</v>
      </c>
      <c r="G386" s="3">
        <v>0.52</v>
      </c>
      <c r="H386" s="8">
        <v>0</v>
      </c>
      <c r="I386" s="10">
        <v>0</v>
      </c>
      <c r="J386" s="3">
        <v>0</v>
      </c>
    </row>
    <row r="387" spans="1:10">
      <c r="A387" s="4" t="s">
        <v>449</v>
      </c>
      <c r="B387" s="4" t="s">
        <v>25</v>
      </c>
      <c r="C387" s="4" t="s">
        <v>23</v>
      </c>
      <c r="D387" t="s">
        <v>103</v>
      </c>
      <c r="E387" s="8">
        <v>0.1429</v>
      </c>
      <c r="F387" s="3">
        <v>0.52</v>
      </c>
      <c r="G387" s="3">
        <v>0.52</v>
      </c>
      <c r="H387" s="8">
        <v>0</v>
      </c>
      <c r="I387" s="10">
        <v>0</v>
      </c>
      <c r="J387" s="3">
        <v>0</v>
      </c>
    </row>
    <row r="388" spans="1:10">
      <c r="A388" s="4" t="s">
        <v>307</v>
      </c>
      <c r="B388" s="4" t="s">
        <v>25</v>
      </c>
      <c r="C388" s="4" t="s">
        <v>23</v>
      </c>
      <c r="D388" t="s">
        <v>103</v>
      </c>
      <c r="E388" s="8">
        <v>0.3333</v>
      </c>
      <c r="F388" s="3">
        <v>0.51</v>
      </c>
      <c r="G388" s="3">
        <v>0.51</v>
      </c>
      <c r="H388" s="8">
        <v>0</v>
      </c>
      <c r="I388" s="10">
        <v>0</v>
      </c>
      <c r="J388" s="3">
        <v>0</v>
      </c>
    </row>
    <row r="389" spans="1:10">
      <c r="A389" s="4" t="s">
        <v>450</v>
      </c>
      <c r="B389" s="4" t="s">
        <v>25</v>
      </c>
      <c r="C389" s="4" t="s">
        <v>23</v>
      </c>
      <c r="D389" t="s">
        <v>103</v>
      </c>
      <c r="E389" s="8">
        <v>0.0769</v>
      </c>
      <c r="F389" s="3">
        <v>0.46</v>
      </c>
      <c r="G389" s="3">
        <v>0.46</v>
      </c>
      <c r="H389" s="8">
        <v>0</v>
      </c>
      <c r="I389" s="10">
        <v>0</v>
      </c>
      <c r="J389" s="3">
        <v>0</v>
      </c>
    </row>
    <row r="390" spans="1:10">
      <c r="A390" s="4" t="s">
        <v>451</v>
      </c>
      <c r="B390" s="4" t="s">
        <v>25</v>
      </c>
      <c r="C390" s="4" t="s">
        <v>23</v>
      </c>
      <c r="D390" t="s">
        <v>103</v>
      </c>
      <c r="E390" s="8">
        <v>1</v>
      </c>
      <c r="F390" s="3">
        <v>0.42</v>
      </c>
      <c r="G390" s="3">
        <v>0.42</v>
      </c>
      <c r="H390" s="8">
        <v>0</v>
      </c>
      <c r="I390" s="10">
        <v>0</v>
      </c>
      <c r="J390" s="3">
        <v>0</v>
      </c>
    </row>
    <row r="391" spans="1:10">
      <c r="A391" s="4" t="s">
        <v>452</v>
      </c>
      <c r="B391" s="4" t="s">
        <v>25</v>
      </c>
      <c r="C391" s="4" t="s">
        <v>23</v>
      </c>
      <c r="D391" t="s">
        <v>103</v>
      </c>
      <c r="E391" s="8">
        <v>0.5</v>
      </c>
      <c r="F391" s="3">
        <v>0.42</v>
      </c>
      <c r="G391" s="3">
        <v>0.42</v>
      </c>
      <c r="H391" s="8">
        <v>0</v>
      </c>
      <c r="I391" s="10">
        <v>0</v>
      </c>
      <c r="J391" s="3">
        <v>0</v>
      </c>
    </row>
    <row r="392" spans="1:10">
      <c r="A392" s="4" t="s">
        <v>453</v>
      </c>
      <c r="B392" s="4" t="s">
        <v>25</v>
      </c>
      <c r="C392" s="4" t="s">
        <v>23</v>
      </c>
      <c r="D392" t="s">
        <v>103</v>
      </c>
      <c r="E392" s="8">
        <v>0.25</v>
      </c>
      <c r="F392" s="3">
        <v>0.41</v>
      </c>
      <c r="G392" s="3">
        <v>0.41</v>
      </c>
      <c r="H392" s="8">
        <v>0</v>
      </c>
      <c r="I392" s="10">
        <v>0</v>
      </c>
      <c r="J392" s="3">
        <v>0</v>
      </c>
    </row>
    <row r="393" spans="1:10">
      <c r="A393" s="4" t="s">
        <v>340</v>
      </c>
      <c r="B393" s="4" t="s">
        <v>25</v>
      </c>
      <c r="C393" s="4" t="s">
        <v>23</v>
      </c>
      <c r="D393" t="s">
        <v>103</v>
      </c>
      <c r="E393" s="8">
        <v>0.0833</v>
      </c>
      <c r="F393" s="3">
        <v>0.41</v>
      </c>
      <c r="G393" s="3">
        <v>0.41</v>
      </c>
      <c r="H393" s="8">
        <v>0</v>
      </c>
      <c r="I393" s="10">
        <v>0</v>
      </c>
      <c r="J393" s="3">
        <v>0</v>
      </c>
    </row>
    <row r="394" spans="1:10">
      <c r="A394" s="4" t="s">
        <v>454</v>
      </c>
      <c r="B394" s="4" t="s">
        <v>25</v>
      </c>
      <c r="C394" s="4" t="s">
        <v>23</v>
      </c>
      <c r="D394" t="s">
        <v>103</v>
      </c>
      <c r="E394" s="8">
        <v>1</v>
      </c>
      <c r="F394" s="3">
        <v>0.4</v>
      </c>
      <c r="G394" s="3">
        <v>0.4</v>
      </c>
      <c r="H394" s="8">
        <v>0</v>
      </c>
      <c r="I394" s="10">
        <v>0</v>
      </c>
      <c r="J394" s="3">
        <v>0</v>
      </c>
    </row>
    <row r="395" spans="1:10">
      <c r="A395" s="4" t="s">
        <v>455</v>
      </c>
      <c r="B395" s="4" t="s">
        <v>25</v>
      </c>
      <c r="C395" s="4" t="s">
        <v>23</v>
      </c>
      <c r="D395" t="s">
        <v>103</v>
      </c>
      <c r="E395" s="8">
        <v>0.3333</v>
      </c>
      <c r="F395" s="3">
        <v>0.4</v>
      </c>
      <c r="G395" s="3">
        <v>0.4</v>
      </c>
      <c r="H395" s="8">
        <v>0</v>
      </c>
      <c r="I395" s="10">
        <v>0</v>
      </c>
      <c r="J395" s="3">
        <v>0</v>
      </c>
    </row>
    <row r="396" spans="1:10">
      <c r="A396" s="4" t="s">
        <v>456</v>
      </c>
      <c r="B396" s="4" t="s">
        <v>25</v>
      </c>
      <c r="C396" s="4" t="s">
        <v>23</v>
      </c>
      <c r="D396" t="s">
        <v>103</v>
      </c>
      <c r="E396" s="8">
        <v>0.5</v>
      </c>
      <c r="F396" s="3">
        <v>0.34</v>
      </c>
      <c r="G396" s="3">
        <v>0.34</v>
      </c>
      <c r="H396" s="8">
        <v>0</v>
      </c>
      <c r="I396" s="10">
        <v>0</v>
      </c>
      <c r="J396" s="3">
        <v>0</v>
      </c>
    </row>
    <row r="397" spans="1:10">
      <c r="A397" s="4" t="s">
        <v>457</v>
      </c>
      <c r="B397" s="4" t="s">
        <v>126</v>
      </c>
      <c r="C397" s="4" t="s">
        <v>26</v>
      </c>
      <c r="D397" t="s">
        <v>119</v>
      </c>
      <c r="E397" s="8">
        <v>1</v>
      </c>
      <c r="F397" s="3">
        <v>0.14</v>
      </c>
      <c r="G397" s="3">
        <v>0.28</v>
      </c>
      <c r="H397" s="8">
        <v>0</v>
      </c>
      <c r="I397" s="10">
        <v>0</v>
      </c>
      <c r="J397" s="3">
        <v>0</v>
      </c>
    </row>
    <row r="398" spans="1:10">
      <c r="A398" s="4" t="s">
        <v>458</v>
      </c>
      <c r="B398" s="4" t="s">
        <v>25</v>
      </c>
      <c r="C398" s="4" t="s">
        <v>23</v>
      </c>
      <c r="D398" t="s">
        <v>103</v>
      </c>
      <c r="E398" s="8">
        <v>0.25</v>
      </c>
      <c r="F398" s="3">
        <v>0.14</v>
      </c>
      <c r="G398" s="3">
        <v>0.28</v>
      </c>
      <c r="H398" s="8">
        <v>0</v>
      </c>
      <c r="I398" s="10">
        <v>0</v>
      </c>
      <c r="J398" s="3">
        <v>0</v>
      </c>
    </row>
    <row r="399" spans="1:10">
      <c r="A399" s="4" t="s">
        <v>459</v>
      </c>
      <c r="B399" s="4" t="s">
        <v>25</v>
      </c>
      <c r="C399" s="4" t="s">
        <v>23</v>
      </c>
      <c r="D399" t="s">
        <v>103</v>
      </c>
      <c r="E399" s="8">
        <v>0.5</v>
      </c>
      <c r="F399" s="3">
        <v>0.25</v>
      </c>
      <c r="G399" s="3">
        <v>0.25</v>
      </c>
      <c r="H399" s="8">
        <v>0</v>
      </c>
      <c r="I399" s="10">
        <v>0</v>
      </c>
      <c r="J399" s="3">
        <v>0</v>
      </c>
    </row>
    <row r="400" spans="1:10">
      <c r="A400" s="4" t="s">
        <v>460</v>
      </c>
      <c r="B400" s="4" t="s">
        <v>25</v>
      </c>
      <c r="C400" s="4" t="s">
        <v>23</v>
      </c>
      <c r="D400" t="s">
        <v>103</v>
      </c>
      <c r="E400" s="8">
        <v>1</v>
      </c>
      <c r="F400" s="3">
        <v>0.23</v>
      </c>
      <c r="G400" s="3">
        <v>0.23</v>
      </c>
      <c r="H400" s="8">
        <v>0</v>
      </c>
      <c r="I400" s="10">
        <v>0</v>
      </c>
      <c r="J400" s="3">
        <v>0</v>
      </c>
    </row>
    <row r="401" spans="1:10">
      <c r="A401" s="4" t="s">
        <v>461</v>
      </c>
      <c r="B401" s="4" t="s">
        <v>25</v>
      </c>
      <c r="C401" s="4" t="s">
        <v>23</v>
      </c>
      <c r="D401" t="s">
        <v>103</v>
      </c>
      <c r="E401" s="8">
        <v>0.5</v>
      </c>
      <c r="F401" s="3">
        <v>0.12</v>
      </c>
      <c r="G401" s="3">
        <v>0.12</v>
      </c>
      <c r="H401" s="8">
        <v>0</v>
      </c>
      <c r="I401" s="10">
        <v>0</v>
      </c>
      <c r="J401" s="3">
        <v>0</v>
      </c>
    </row>
    <row r="402" spans="1:10">
      <c r="A402" s="4" t="s">
        <v>462</v>
      </c>
      <c r="B402" s="4" t="s">
        <v>25</v>
      </c>
      <c r="C402" s="4" t="s">
        <v>23</v>
      </c>
      <c r="D402" t="s">
        <v>103</v>
      </c>
      <c r="E402" s="8">
        <v>0.25</v>
      </c>
      <c r="F402" s="3">
        <v>0.08</v>
      </c>
      <c r="G402" s="3">
        <v>0.08</v>
      </c>
      <c r="H402" s="8">
        <v>0</v>
      </c>
      <c r="I402" s="10">
        <v>0</v>
      </c>
      <c r="J402" s="3">
        <v>0</v>
      </c>
    </row>
    <row r="403" spans="1:10">
      <c r="A403" s="4" t="s">
        <v>463</v>
      </c>
      <c r="B403" s="4" t="s">
        <v>25</v>
      </c>
      <c r="C403" s="4" t="s">
        <v>23</v>
      </c>
      <c r="D403" t="s">
        <v>103</v>
      </c>
      <c r="E403" s="8">
        <v>0.0909</v>
      </c>
      <c r="F403" s="3">
        <v>0.06</v>
      </c>
      <c r="G403" s="3">
        <v>0.06</v>
      </c>
      <c r="H403" s="8">
        <v>0</v>
      </c>
      <c r="I403" s="10">
        <v>0</v>
      </c>
      <c r="J403" s="3">
        <v>0</v>
      </c>
    </row>
    <row r="404" spans="1:10">
      <c r="A404" s="4" t="s">
        <v>464</v>
      </c>
      <c r="B404" s="4" t="s">
        <v>25</v>
      </c>
      <c r="C404" s="4" t="s">
        <v>23</v>
      </c>
      <c r="D404" t="s">
        <v>103</v>
      </c>
      <c r="E404" s="8">
        <v>0.3333</v>
      </c>
      <c r="F404" s="3">
        <v>0.05</v>
      </c>
      <c r="G404" s="3">
        <v>0.05</v>
      </c>
      <c r="H404" s="8">
        <v>0</v>
      </c>
      <c r="I404" s="10">
        <v>0</v>
      </c>
      <c r="J404" s="3">
        <v>0</v>
      </c>
    </row>
    <row r="405" spans="1:10">
      <c r="A405" s="4" t="s">
        <v>465</v>
      </c>
      <c r="B405" s="4" t="s">
        <v>25</v>
      </c>
      <c r="C405" s="4" t="s">
        <v>23</v>
      </c>
      <c r="D405" t="s">
        <v>103</v>
      </c>
      <c r="E405" s="8">
        <v>0.5</v>
      </c>
      <c r="F405" s="3">
        <v>0.01</v>
      </c>
      <c r="G405" s="3">
        <v>0.01</v>
      </c>
      <c r="H405" s="8">
        <v>0</v>
      </c>
      <c r="I405" s="10">
        <v>0</v>
      </c>
      <c r="J405" s="3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workbookViewId="0">
      <selection activeCell="A1" sqref="A1"/>
    </sheetView>
  </sheetViews>
  <sheetFormatPr defaultColWidth="8.88888888888889" defaultRowHeight="14.4"/>
  <cols>
    <col min="1" max="1" width="36" customWidth="1"/>
    <col min="2" max="2" width="8.44444444444444" customWidth="1"/>
    <col min="3" max="3" width="16.2222222222222" customWidth="1"/>
    <col min="4" max="4" width="16.1111111111111" customWidth="1"/>
    <col min="5" max="5" width="36" customWidth="1"/>
    <col min="6" max="6" width="18.2222222222222" customWidth="1"/>
    <col min="7" max="7" width="11.5555555555556" customWidth="1"/>
    <col min="8" max="8" width="10.4444444444444" customWidth="1"/>
    <col min="9" max="9" width="21.8888888888889" style="5" customWidth="1"/>
    <col min="10" max="10" width="13.2222222222222" customWidth="1"/>
  </cols>
  <sheetData>
    <row r="1" s="4" customFormat="1" spans="1:10">
      <c r="A1" s="4" t="s">
        <v>466</v>
      </c>
      <c r="D1" s="6"/>
      <c r="E1" s="7"/>
      <c r="F1" s="7"/>
      <c r="I1" s="5"/>
    </row>
    <row r="2" s="4" customFormat="1" spans="1:10">
      <c r="A2" s="4" t="s">
        <v>467</v>
      </c>
      <c r="D2" s="6"/>
      <c r="E2" s="7"/>
      <c r="F2" s="7"/>
      <c r="I2" s="5"/>
    </row>
    <row r="3" s="4" customFormat="1" spans="1:10">
      <c r="A3" s="4" t="s">
        <v>468</v>
      </c>
      <c r="D3" s="6"/>
      <c r="E3" s="7"/>
      <c r="F3" s="7"/>
      <c r="I3" s="5"/>
    </row>
    <row r="4" s="4" customFormat="1" spans="1:10">
      <c r="A4" s="4" t="s">
        <v>469</v>
      </c>
      <c r="D4" s="6"/>
      <c r="E4" s="7"/>
      <c r="F4" s="7"/>
      <c r="I4" s="5"/>
    </row>
    <row r="5" s="4" customFormat="1" spans="1:10">
      <c r="A5" s="4" t="s">
        <v>466</v>
      </c>
      <c r="D5" s="6"/>
      <c r="E5" s="7"/>
      <c r="F5" s="7"/>
      <c r="I5" s="5"/>
    </row>
    <row r="6" s="4" customFormat="1" spans="1:10">
      <c r="A6" s="4" t="s">
        <v>470</v>
      </c>
      <c r="D6" s="6"/>
      <c r="E6" s="7"/>
      <c r="F6" s="7"/>
      <c r="I6" s="5"/>
    </row>
    <row r="7" s="4" customFormat="1" spans="1:10">
      <c r="A7" s="4" t="s">
        <v>471</v>
      </c>
      <c r="D7" s="6"/>
      <c r="E7" s="7"/>
      <c r="F7" s="7"/>
      <c r="I7" s="5"/>
    </row>
    <row r="8" s="4" customFormat="1" spans="1:10">
      <c r="A8" s="4" t="s">
        <v>472</v>
      </c>
      <c r="D8" s="6"/>
      <c r="E8" s="7"/>
      <c r="F8" s="7"/>
      <c r="I8" s="5"/>
    </row>
    <row r="9" s="4" customFormat="1" spans="1:10">
      <c r="A9" s="4" t="s">
        <v>473</v>
      </c>
      <c r="D9" s="6"/>
      <c r="E9" s="7"/>
      <c r="F9" s="7"/>
      <c r="I9" s="5"/>
    </row>
    <row r="10" s="4" customFormat="1" spans="1:10">
      <c r="A10" s="4" t="s">
        <v>474</v>
      </c>
      <c r="B10" s="4" t="s">
        <v>475</v>
      </c>
      <c r="C10" s="4" t="s">
        <v>476</v>
      </c>
      <c r="D10" s="6" t="s">
        <v>477</v>
      </c>
      <c r="E10" s="7" t="s">
        <v>478</v>
      </c>
      <c r="F10" s="7" t="s">
        <v>479</v>
      </c>
      <c r="G10" s="4" t="s">
        <v>480</v>
      </c>
      <c r="H10" s="4" t="s">
        <v>481</v>
      </c>
      <c r="I10" s="5" t="s">
        <v>482</v>
      </c>
      <c r="J10" s="4" t="s">
        <v>483</v>
      </c>
    </row>
    <row r="11" s="4" customFormat="1" spans="1:10">
      <c r="A11" s="4" t="s">
        <v>484</v>
      </c>
      <c r="B11" s="4">
        <v>2821</v>
      </c>
      <c r="C11" s="4">
        <v>1666</v>
      </c>
      <c r="D11" s="8">
        <v>0.590570719602978</v>
      </c>
      <c r="E11" s="7">
        <v>39.1566820276498</v>
      </c>
      <c r="F11" s="7">
        <v>5.37398085785183</v>
      </c>
      <c r="G11" s="4">
        <v>15160</v>
      </c>
      <c r="H11" s="4">
        <v>120</v>
      </c>
      <c r="I11" s="8">
        <v>0.0251683800070897</v>
      </c>
      <c r="J11" s="4">
        <v>0</v>
      </c>
    </row>
    <row r="12" s="4" customFormat="1" spans="1:10">
      <c r="A12" s="4" t="s">
        <v>485</v>
      </c>
      <c r="B12" s="4">
        <v>2674</v>
      </c>
      <c r="C12" s="4">
        <v>1056</v>
      </c>
      <c r="D12" s="8">
        <v>0.394913986537023</v>
      </c>
      <c r="E12" s="7">
        <v>15.4203440538519</v>
      </c>
      <c r="F12" s="7">
        <v>4.04263275991025</v>
      </c>
      <c r="G12" s="4">
        <v>10810</v>
      </c>
      <c r="H12" s="4">
        <v>39</v>
      </c>
      <c r="I12" s="8">
        <v>0.0074794315632012</v>
      </c>
      <c r="J12" s="4">
        <v>0</v>
      </c>
    </row>
    <row r="13" s="4" customFormat="1" spans="1:10">
      <c r="A13" s="4" t="s">
        <v>486</v>
      </c>
      <c r="B13" s="4">
        <v>229</v>
      </c>
      <c r="C13" s="4">
        <v>13</v>
      </c>
      <c r="D13" s="8">
        <v>0.0567685589519651</v>
      </c>
      <c r="E13" s="7">
        <v>2.22270742358079</v>
      </c>
      <c r="F13" s="7">
        <v>3.31877729257642</v>
      </c>
      <c r="G13" s="4">
        <v>760</v>
      </c>
      <c r="H13" s="4">
        <v>0</v>
      </c>
      <c r="I13" s="8">
        <v>0</v>
      </c>
      <c r="J13" s="4">
        <v>0</v>
      </c>
    </row>
    <row r="14" s="4" customFormat="1" spans="1:10">
      <c r="A14" s="4" t="s">
        <v>487</v>
      </c>
      <c r="B14" s="4">
        <v>177</v>
      </c>
      <c r="C14" s="4">
        <v>106</v>
      </c>
      <c r="D14" s="8">
        <v>0.598870056497175</v>
      </c>
      <c r="E14" s="7">
        <v>58.9604519774011</v>
      </c>
      <c r="F14" s="7">
        <v>6.01129943502825</v>
      </c>
      <c r="G14" s="4">
        <v>1064</v>
      </c>
      <c r="H14" s="4">
        <v>5</v>
      </c>
      <c r="I14" s="8">
        <v>0.0225988700564972</v>
      </c>
      <c r="J14" s="4">
        <v>0</v>
      </c>
    </row>
    <row r="15" s="4" customFormat="1" spans="1:10">
      <c r="A15" s="4" t="s">
        <v>488</v>
      </c>
      <c r="B15" s="4">
        <v>67</v>
      </c>
      <c r="C15" s="4">
        <v>38</v>
      </c>
      <c r="D15" s="8">
        <v>0.567164179104478</v>
      </c>
      <c r="E15" s="7">
        <v>30.5970149253731</v>
      </c>
      <c r="F15" s="7">
        <v>5.41791044776119</v>
      </c>
      <c r="G15" s="4">
        <v>363</v>
      </c>
      <c r="H15" s="4">
        <v>6</v>
      </c>
      <c r="I15" s="8">
        <v>0.0597014925373134</v>
      </c>
      <c r="J15" s="4">
        <v>0</v>
      </c>
    </row>
    <row r="16" s="4" customFormat="1" spans="1:10">
      <c r="A16" s="4" t="s">
        <v>489</v>
      </c>
      <c r="B16" s="4">
        <v>25</v>
      </c>
      <c r="C16" s="4">
        <v>20</v>
      </c>
      <c r="D16" s="8">
        <v>0.8</v>
      </c>
      <c r="E16" s="7">
        <v>50.44</v>
      </c>
      <c r="F16" s="7">
        <v>7.32</v>
      </c>
      <c r="G16" s="4">
        <v>183</v>
      </c>
      <c r="H16" s="4">
        <v>1</v>
      </c>
      <c r="I16" s="8">
        <v>0.04</v>
      </c>
      <c r="J16" s="4">
        <v>0</v>
      </c>
    </row>
    <row r="17" s="4" customFormat="1" spans="1:10">
      <c r="A17" s="4" t="s">
        <v>490</v>
      </c>
      <c r="B17" s="4">
        <v>23</v>
      </c>
      <c r="C17" s="4">
        <v>0</v>
      </c>
      <c r="D17" s="8">
        <v>0</v>
      </c>
      <c r="E17" s="7">
        <v>0</v>
      </c>
      <c r="F17" s="7">
        <v>3</v>
      </c>
      <c r="G17" s="4">
        <v>69</v>
      </c>
      <c r="H17" s="4">
        <v>0</v>
      </c>
      <c r="I17" s="8">
        <v>0</v>
      </c>
      <c r="J17" s="4">
        <v>0</v>
      </c>
    </row>
    <row r="18" s="4" customFormat="1" spans="1:10">
      <c r="A18" s="4" t="s">
        <v>491</v>
      </c>
      <c r="B18" s="4">
        <v>19</v>
      </c>
      <c r="C18" s="4">
        <v>12</v>
      </c>
      <c r="D18" s="8">
        <v>0.631578947368421</v>
      </c>
      <c r="E18" s="7">
        <v>29.2105263157895</v>
      </c>
      <c r="F18" s="7">
        <v>7.57894736842105</v>
      </c>
      <c r="G18" s="4">
        <v>144</v>
      </c>
      <c r="H18" s="4">
        <v>0</v>
      </c>
      <c r="I18" s="8">
        <v>0</v>
      </c>
      <c r="J18" s="4">
        <v>0</v>
      </c>
    </row>
    <row r="19" s="4" customFormat="1" spans="1:10">
      <c r="A19" s="4" t="s">
        <v>492</v>
      </c>
      <c r="B19" s="4">
        <v>18</v>
      </c>
      <c r="C19" s="4">
        <v>0</v>
      </c>
      <c r="D19" s="8">
        <v>0</v>
      </c>
      <c r="E19" s="7">
        <v>18.5</v>
      </c>
      <c r="F19" s="7">
        <v>2.16666666666667</v>
      </c>
      <c r="G19" s="4">
        <v>39</v>
      </c>
      <c r="H19" s="4">
        <v>0</v>
      </c>
      <c r="I19" s="8">
        <v>0</v>
      </c>
      <c r="J19" s="4">
        <v>0</v>
      </c>
    </row>
    <row r="20" s="4" customFormat="1" spans="1:10">
      <c r="A20" s="4" t="s">
        <v>493</v>
      </c>
      <c r="B20" s="4">
        <v>14</v>
      </c>
      <c r="C20" s="4">
        <v>7</v>
      </c>
      <c r="D20" s="8">
        <v>0.5</v>
      </c>
      <c r="E20" s="7">
        <v>27</v>
      </c>
      <c r="F20" s="7">
        <v>3.92857142857143</v>
      </c>
      <c r="G20" s="4">
        <v>55</v>
      </c>
      <c r="H20" s="4">
        <v>0</v>
      </c>
      <c r="I20" s="8">
        <v>0</v>
      </c>
      <c r="J20" s="4">
        <v>0</v>
      </c>
    </row>
    <row r="21" s="4" customFormat="1" spans="1:10">
      <c r="A21" s="4" t="s">
        <v>494</v>
      </c>
      <c r="B21" s="4">
        <v>13</v>
      </c>
      <c r="C21" s="4">
        <v>9</v>
      </c>
      <c r="D21" s="8">
        <v>0.692307692307692</v>
      </c>
      <c r="E21" s="7">
        <v>25.0769230769231</v>
      </c>
      <c r="F21" s="7">
        <v>5.38461538461539</v>
      </c>
      <c r="G21" s="4">
        <v>70</v>
      </c>
      <c r="H21" s="4">
        <v>0</v>
      </c>
      <c r="I21" s="8">
        <v>0</v>
      </c>
      <c r="J21" s="4">
        <v>0</v>
      </c>
    </row>
    <row r="22" s="4" customFormat="1" spans="1:10">
      <c r="A22" s="4" t="s">
        <v>495</v>
      </c>
      <c r="B22" s="4">
        <v>8</v>
      </c>
      <c r="C22" s="4">
        <v>6</v>
      </c>
      <c r="D22" s="8">
        <v>0.75</v>
      </c>
      <c r="E22" s="7">
        <v>299.375</v>
      </c>
      <c r="F22" s="7">
        <v>10.75</v>
      </c>
      <c r="G22" s="4">
        <v>86</v>
      </c>
      <c r="H22" s="4">
        <v>2</v>
      </c>
      <c r="I22" s="8">
        <v>0.25</v>
      </c>
      <c r="J22" s="4">
        <v>0</v>
      </c>
    </row>
    <row r="23" s="4" customFormat="1" spans="1:10">
      <c r="A23" s="4" t="s">
        <v>496</v>
      </c>
      <c r="B23" s="4">
        <v>8</v>
      </c>
      <c r="C23" s="4">
        <v>3</v>
      </c>
      <c r="D23" s="8">
        <v>0.375</v>
      </c>
      <c r="E23" s="7">
        <v>2.5</v>
      </c>
      <c r="F23" s="7">
        <v>3.375</v>
      </c>
      <c r="G23" s="4">
        <v>27</v>
      </c>
      <c r="H23" s="4">
        <v>0</v>
      </c>
      <c r="I23" s="8">
        <v>0</v>
      </c>
      <c r="J23" s="4">
        <v>0</v>
      </c>
    </row>
    <row r="24" s="4" customFormat="1" spans="1:10">
      <c r="A24" s="4" t="s">
        <v>497</v>
      </c>
      <c r="B24" s="4">
        <v>7</v>
      </c>
      <c r="C24" s="4">
        <v>6</v>
      </c>
      <c r="D24" s="8">
        <v>0.857142857142857</v>
      </c>
      <c r="E24" s="7">
        <v>146</v>
      </c>
      <c r="F24" s="7">
        <v>8.85714285714286</v>
      </c>
      <c r="G24" s="4">
        <v>62</v>
      </c>
      <c r="H24" s="4">
        <v>2</v>
      </c>
      <c r="I24" s="8">
        <v>0.285714285714286</v>
      </c>
      <c r="J24" s="4">
        <v>0</v>
      </c>
    </row>
    <row r="25" s="4" customFormat="1" spans="1:10">
      <c r="A25" s="4" t="s">
        <v>498</v>
      </c>
      <c r="B25" s="4">
        <v>6</v>
      </c>
      <c r="C25" s="4">
        <v>0</v>
      </c>
      <c r="D25" s="8">
        <v>0</v>
      </c>
      <c r="E25" s="7">
        <v>0.5</v>
      </c>
      <c r="F25" s="7">
        <v>2.66666666666667</v>
      </c>
      <c r="G25" s="4">
        <v>16</v>
      </c>
      <c r="H25" s="4">
        <v>0</v>
      </c>
      <c r="I25" s="8">
        <v>0</v>
      </c>
      <c r="J25" s="4">
        <v>0</v>
      </c>
    </row>
    <row r="26" s="4" customFormat="1" spans="1:10">
      <c r="A26" s="4" t="s">
        <v>499</v>
      </c>
      <c r="B26" s="4">
        <v>5</v>
      </c>
      <c r="C26" s="4">
        <v>5</v>
      </c>
      <c r="D26" s="8">
        <v>1</v>
      </c>
      <c r="E26" s="7">
        <v>39.6</v>
      </c>
      <c r="F26" s="7">
        <v>7.2</v>
      </c>
      <c r="G26" s="4">
        <v>36</v>
      </c>
      <c r="H26" s="4">
        <v>0</v>
      </c>
      <c r="I26" s="8">
        <v>0</v>
      </c>
      <c r="J26" s="4">
        <v>0</v>
      </c>
    </row>
    <row r="27" s="4" customFormat="1" spans="1:10">
      <c r="A27" s="4" t="s">
        <v>500</v>
      </c>
      <c r="B27" s="4">
        <v>5</v>
      </c>
      <c r="C27" s="4">
        <v>1</v>
      </c>
      <c r="D27" s="8">
        <v>0.2</v>
      </c>
      <c r="E27" s="7">
        <v>3</v>
      </c>
      <c r="F27" s="7">
        <v>2.4</v>
      </c>
      <c r="G27" s="4">
        <v>12</v>
      </c>
      <c r="H27" s="4">
        <v>0</v>
      </c>
      <c r="I27" s="8">
        <v>0</v>
      </c>
      <c r="J27" s="4">
        <v>0</v>
      </c>
    </row>
    <row r="28" s="4" customFormat="1" spans="1:10">
      <c r="A28" s="4" t="s">
        <v>501</v>
      </c>
      <c r="B28" s="4">
        <v>4</v>
      </c>
      <c r="C28" s="4">
        <v>3</v>
      </c>
      <c r="D28" s="8">
        <v>0.75</v>
      </c>
      <c r="E28" s="7">
        <v>6.5</v>
      </c>
      <c r="F28" s="7">
        <v>5</v>
      </c>
      <c r="G28" s="4">
        <v>20</v>
      </c>
      <c r="H28" s="4">
        <v>0</v>
      </c>
      <c r="I28" s="8">
        <v>0</v>
      </c>
      <c r="J28" s="4">
        <v>0</v>
      </c>
    </row>
    <row r="29" s="4" customFormat="1" spans="1:10">
      <c r="A29" s="4" t="s">
        <v>502</v>
      </c>
      <c r="B29" s="4">
        <v>3</v>
      </c>
      <c r="C29" s="4">
        <v>2</v>
      </c>
      <c r="D29" s="8">
        <v>0.666666666666667</v>
      </c>
      <c r="E29" s="7">
        <v>122</v>
      </c>
      <c r="F29" s="7">
        <v>7.33333333333333</v>
      </c>
      <c r="G29" s="4">
        <v>22</v>
      </c>
      <c r="H29" s="4">
        <v>0</v>
      </c>
      <c r="I29" s="8">
        <v>0</v>
      </c>
      <c r="J29" s="4">
        <v>0</v>
      </c>
    </row>
    <row r="30" s="4" customFormat="1" spans="1:10">
      <c r="A30" s="4" t="s">
        <v>503</v>
      </c>
      <c r="B30" s="4">
        <v>3</v>
      </c>
      <c r="C30" s="4">
        <v>0</v>
      </c>
      <c r="D30" s="8">
        <v>0</v>
      </c>
      <c r="E30" s="7">
        <v>0</v>
      </c>
      <c r="F30" s="7">
        <v>2.33333333333333</v>
      </c>
      <c r="G30" s="4">
        <v>7</v>
      </c>
      <c r="H30" s="4">
        <v>0</v>
      </c>
      <c r="I30" s="8">
        <v>0</v>
      </c>
      <c r="J30" s="4">
        <v>0</v>
      </c>
    </row>
    <row r="31" s="4" customFormat="1" spans="1:10">
      <c r="A31" s="4" t="s">
        <v>504</v>
      </c>
      <c r="B31" s="4">
        <v>2</v>
      </c>
      <c r="C31" s="4">
        <v>1</v>
      </c>
      <c r="D31" s="8">
        <v>0.5</v>
      </c>
      <c r="E31" s="7">
        <v>215</v>
      </c>
      <c r="F31" s="7">
        <v>9</v>
      </c>
      <c r="G31" s="4">
        <v>18</v>
      </c>
      <c r="H31" s="4">
        <v>2</v>
      </c>
      <c r="I31" s="8">
        <v>0.5</v>
      </c>
      <c r="J31" s="4">
        <v>0</v>
      </c>
    </row>
    <row r="32" s="4" customFormat="1" spans="1:10">
      <c r="A32" s="4" t="s">
        <v>505</v>
      </c>
      <c r="B32" s="4">
        <v>2</v>
      </c>
      <c r="C32" s="4">
        <v>0</v>
      </c>
      <c r="D32" s="8">
        <v>0</v>
      </c>
      <c r="E32" s="7">
        <v>0</v>
      </c>
      <c r="F32" s="7">
        <v>2.5</v>
      </c>
      <c r="G32" s="4">
        <v>5</v>
      </c>
      <c r="H32" s="4">
        <v>0</v>
      </c>
      <c r="I32" s="8">
        <v>0</v>
      </c>
      <c r="J32" s="4">
        <v>0</v>
      </c>
    </row>
    <row r="33" s="4" customFormat="1" spans="1:10">
      <c r="A33" s="4" t="s">
        <v>506</v>
      </c>
      <c r="B33" s="4">
        <v>2</v>
      </c>
      <c r="C33" s="4">
        <v>1</v>
      </c>
      <c r="D33" s="8">
        <v>0.5</v>
      </c>
      <c r="E33" s="7">
        <v>2.5</v>
      </c>
      <c r="F33" s="7">
        <v>4</v>
      </c>
      <c r="G33" s="4">
        <v>8</v>
      </c>
      <c r="H33" s="4">
        <v>0</v>
      </c>
      <c r="I33" s="8">
        <v>0</v>
      </c>
      <c r="J33" s="4">
        <v>0</v>
      </c>
    </row>
    <row r="34" s="4" customFormat="1" spans="1:10">
      <c r="A34" s="4" t="s">
        <v>507</v>
      </c>
      <c r="B34" s="4">
        <v>2</v>
      </c>
      <c r="C34" s="4">
        <v>1</v>
      </c>
      <c r="D34" s="8">
        <v>0.5</v>
      </c>
      <c r="E34" s="7">
        <v>10.5</v>
      </c>
      <c r="F34" s="7">
        <v>4.5</v>
      </c>
      <c r="G34" s="4">
        <v>9</v>
      </c>
      <c r="H34" s="4">
        <v>0</v>
      </c>
      <c r="I34" s="8">
        <v>0</v>
      </c>
      <c r="J34" s="4">
        <v>0</v>
      </c>
    </row>
    <row r="35" s="4" customFormat="1" spans="1:10">
      <c r="A35" s="4" t="s">
        <v>508</v>
      </c>
      <c r="B35" s="4">
        <v>1</v>
      </c>
      <c r="C35" s="4">
        <v>1</v>
      </c>
      <c r="D35" s="8">
        <v>1</v>
      </c>
      <c r="E35" s="7">
        <v>14</v>
      </c>
      <c r="F35" s="7">
        <v>4</v>
      </c>
      <c r="G35" s="4">
        <v>4</v>
      </c>
      <c r="H35" s="4">
        <v>0</v>
      </c>
      <c r="I35" s="8">
        <v>0</v>
      </c>
      <c r="J35" s="4">
        <v>0</v>
      </c>
    </row>
    <row r="36" s="4" customFormat="1" spans="1:10">
      <c r="A36" s="4" t="s">
        <v>509</v>
      </c>
      <c r="B36" s="4">
        <v>1</v>
      </c>
      <c r="C36" s="4">
        <v>1</v>
      </c>
      <c r="D36" s="8">
        <v>1</v>
      </c>
      <c r="E36" s="7">
        <v>249</v>
      </c>
      <c r="F36" s="7">
        <v>5</v>
      </c>
      <c r="G36" s="4">
        <v>5</v>
      </c>
      <c r="H36" s="4">
        <v>0</v>
      </c>
      <c r="I36" s="8">
        <v>0</v>
      </c>
      <c r="J36" s="4">
        <v>0</v>
      </c>
    </row>
    <row r="37" s="4" customFormat="1" spans="1:10">
      <c r="A37" s="4" t="s">
        <v>510</v>
      </c>
      <c r="B37" s="4">
        <v>1</v>
      </c>
      <c r="C37" s="4">
        <v>1</v>
      </c>
      <c r="D37" s="8">
        <v>1</v>
      </c>
      <c r="E37" s="7">
        <v>36</v>
      </c>
      <c r="F37" s="7">
        <v>6</v>
      </c>
      <c r="G37" s="4">
        <v>6</v>
      </c>
      <c r="H37" s="4">
        <v>0</v>
      </c>
      <c r="I37" s="8">
        <v>0</v>
      </c>
      <c r="J37" s="4">
        <v>0</v>
      </c>
    </row>
    <row r="38" s="4" customFormat="1" spans="1:10">
      <c r="A38" s="4" t="s">
        <v>511</v>
      </c>
      <c r="B38" s="4">
        <v>1</v>
      </c>
      <c r="C38" s="4">
        <v>1</v>
      </c>
      <c r="D38" s="8">
        <v>1</v>
      </c>
      <c r="E38" s="7">
        <v>58</v>
      </c>
      <c r="F38" s="7">
        <v>7</v>
      </c>
      <c r="G38" s="4">
        <v>7</v>
      </c>
      <c r="H38" s="4">
        <v>0</v>
      </c>
      <c r="I38" s="8">
        <v>0</v>
      </c>
      <c r="J38" s="4">
        <v>0</v>
      </c>
    </row>
    <row r="39" s="4" customFormat="1" spans="1:10">
      <c r="A39" s="4" t="s">
        <v>512</v>
      </c>
      <c r="B39" s="4">
        <v>1</v>
      </c>
      <c r="C39" s="4">
        <v>1</v>
      </c>
      <c r="D39" s="8">
        <v>1</v>
      </c>
      <c r="E39" s="7">
        <v>20</v>
      </c>
      <c r="F39" s="7">
        <v>5</v>
      </c>
      <c r="G39" s="4">
        <v>5</v>
      </c>
      <c r="H39" s="4">
        <v>0</v>
      </c>
      <c r="I39" s="8">
        <v>0</v>
      </c>
      <c r="J39" s="4">
        <v>0</v>
      </c>
    </row>
    <row r="40" s="4" customFormat="1" spans="1:10">
      <c r="A40" s="4" t="s">
        <v>513</v>
      </c>
      <c r="B40" s="4">
        <v>1</v>
      </c>
      <c r="C40" s="4">
        <v>1</v>
      </c>
      <c r="D40" s="8">
        <v>1</v>
      </c>
      <c r="E40" s="7">
        <v>14</v>
      </c>
      <c r="F40" s="7">
        <v>5</v>
      </c>
      <c r="G40" s="4">
        <v>5</v>
      </c>
      <c r="H40" s="4">
        <v>0</v>
      </c>
      <c r="I40" s="8">
        <v>0</v>
      </c>
      <c r="J40" s="4">
        <v>0</v>
      </c>
    </row>
    <row r="41" s="4" customFormat="1" spans="1:10">
      <c r="A41" s="4" t="s">
        <v>514</v>
      </c>
      <c r="B41" s="4">
        <v>1</v>
      </c>
      <c r="C41" s="4">
        <v>1</v>
      </c>
      <c r="D41" s="8">
        <v>1</v>
      </c>
      <c r="E41" s="7">
        <v>7</v>
      </c>
      <c r="F41" s="7">
        <v>5</v>
      </c>
      <c r="G41" s="4">
        <v>5</v>
      </c>
      <c r="H41" s="4">
        <v>0</v>
      </c>
      <c r="I41" s="8">
        <v>0</v>
      </c>
      <c r="J41" s="4">
        <v>0</v>
      </c>
    </row>
    <row r="42" s="4" customFormat="1" spans="1:10">
      <c r="A42" s="4" t="s">
        <v>515</v>
      </c>
      <c r="B42" s="4">
        <v>1</v>
      </c>
      <c r="C42" s="4">
        <v>0</v>
      </c>
      <c r="D42" s="8">
        <v>0</v>
      </c>
      <c r="E42" s="7">
        <v>0</v>
      </c>
      <c r="F42" s="7">
        <v>3</v>
      </c>
      <c r="G42" s="4">
        <v>3</v>
      </c>
      <c r="H42" s="4">
        <v>0</v>
      </c>
      <c r="I42" s="8">
        <v>0</v>
      </c>
      <c r="J42" s="4">
        <v>0</v>
      </c>
    </row>
    <row r="43" s="4" customFormat="1" spans="1:10">
      <c r="A43" s="4" t="s">
        <v>516</v>
      </c>
      <c r="B43" s="4">
        <v>1</v>
      </c>
      <c r="C43" s="4">
        <v>1</v>
      </c>
      <c r="D43" s="8">
        <v>1</v>
      </c>
      <c r="E43" s="7">
        <v>849</v>
      </c>
      <c r="F43" s="7">
        <v>5</v>
      </c>
      <c r="G43" s="4">
        <v>5</v>
      </c>
      <c r="H43" s="4">
        <v>0</v>
      </c>
      <c r="I43" s="8">
        <v>0</v>
      </c>
      <c r="J43" s="4">
        <v>0</v>
      </c>
    </row>
    <row r="44" s="4" customFormat="1" spans="1:10">
      <c r="A44" s="4" t="s">
        <v>517</v>
      </c>
      <c r="B44" s="4">
        <v>1</v>
      </c>
      <c r="C44" s="4">
        <v>0</v>
      </c>
      <c r="D44" s="8">
        <v>0</v>
      </c>
      <c r="E44" s="7">
        <v>0</v>
      </c>
      <c r="F44" s="7">
        <v>2</v>
      </c>
      <c r="G44" s="4">
        <v>2</v>
      </c>
      <c r="H44" s="4">
        <v>0</v>
      </c>
      <c r="I44" s="8">
        <v>0</v>
      </c>
      <c r="J44" s="4">
        <v>0</v>
      </c>
    </row>
    <row r="45" s="4" customFormat="1" spans="1:10">
      <c r="A45" s="4" t="s">
        <v>518</v>
      </c>
      <c r="B45" s="4">
        <v>1</v>
      </c>
      <c r="C45" s="4">
        <v>1</v>
      </c>
      <c r="D45" s="8">
        <v>1</v>
      </c>
      <c r="E45" s="7">
        <v>22</v>
      </c>
      <c r="F45" s="7">
        <v>5</v>
      </c>
      <c r="G45" s="4">
        <v>5</v>
      </c>
      <c r="H45" s="4">
        <v>0</v>
      </c>
      <c r="I45" s="8">
        <v>0</v>
      </c>
      <c r="J45" s="4">
        <v>0</v>
      </c>
    </row>
    <row r="46" s="4" customFormat="1" spans="1:10">
      <c r="A46" s="4" t="s">
        <v>519</v>
      </c>
      <c r="B46" s="4">
        <v>1</v>
      </c>
      <c r="C46" s="4">
        <v>1</v>
      </c>
      <c r="D46" s="8">
        <v>1</v>
      </c>
      <c r="E46" s="7">
        <v>2</v>
      </c>
      <c r="F46" s="7">
        <v>4</v>
      </c>
      <c r="G46" s="4">
        <v>4</v>
      </c>
      <c r="H46" s="4">
        <v>0</v>
      </c>
      <c r="I46" s="8">
        <v>0</v>
      </c>
      <c r="J46" s="4">
        <v>0</v>
      </c>
    </row>
    <row r="47" s="4" customFormat="1" spans="1:10">
      <c r="A47" s="4" t="s">
        <v>520</v>
      </c>
      <c r="B47" s="4">
        <v>1</v>
      </c>
      <c r="C47" s="4">
        <v>0</v>
      </c>
      <c r="D47" s="8">
        <v>0</v>
      </c>
      <c r="E47" s="7">
        <v>0</v>
      </c>
      <c r="F47" s="7">
        <v>3</v>
      </c>
      <c r="G47" s="4">
        <v>3</v>
      </c>
      <c r="H47" s="4">
        <v>0</v>
      </c>
      <c r="I47" s="8">
        <v>0</v>
      </c>
      <c r="J47" s="4">
        <v>0</v>
      </c>
    </row>
    <row r="48" s="4" customFormat="1" spans="1:10">
      <c r="A48" s="4" t="s">
        <v>521</v>
      </c>
      <c r="B48" s="4">
        <v>1</v>
      </c>
      <c r="C48" s="4">
        <v>0</v>
      </c>
      <c r="D48" s="8">
        <v>0</v>
      </c>
      <c r="E48" s="7">
        <v>0</v>
      </c>
      <c r="F48" s="7">
        <v>2</v>
      </c>
      <c r="G48" s="4">
        <v>2</v>
      </c>
      <c r="H48" s="4">
        <v>0</v>
      </c>
      <c r="I48" s="8">
        <v>0</v>
      </c>
      <c r="J48" s="4">
        <v>0</v>
      </c>
    </row>
    <row r="49" s="4" customFormat="1" spans="1:10">
      <c r="A49" s="4" t="s">
        <v>522</v>
      </c>
      <c r="B49" s="4">
        <v>1</v>
      </c>
      <c r="C49" s="4">
        <v>0</v>
      </c>
      <c r="D49" s="8">
        <v>0</v>
      </c>
      <c r="E49" s="7">
        <v>0</v>
      </c>
      <c r="F49" s="7">
        <v>3</v>
      </c>
      <c r="G49" s="4">
        <v>3</v>
      </c>
      <c r="H49" s="4">
        <v>0</v>
      </c>
      <c r="I49" s="8">
        <v>0</v>
      </c>
      <c r="J49" s="4">
        <v>0</v>
      </c>
    </row>
    <row r="50" s="4" customFormat="1" spans="1:10">
      <c r="A50" s="4" t="s">
        <v>523</v>
      </c>
      <c r="B50" s="4">
        <v>1</v>
      </c>
      <c r="C50" s="4">
        <v>0</v>
      </c>
      <c r="D50" s="8">
        <v>0</v>
      </c>
      <c r="E50" s="7">
        <v>0</v>
      </c>
      <c r="F50" s="7">
        <v>2</v>
      </c>
      <c r="G50" s="4">
        <v>2</v>
      </c>
      <c r="H50" s="4">
        <v>0</v>
      </c>
      <c r="I50" s="8">
        <v>0</v>
      </c>
      <c r="J50" s="4">
        <v>0</v>
      </c>
    </row>
    <row r="51" s="4" customFormat="1" spans="1:10">
      <c r="A51" s="4" t="s">
        <v>524</v>
      </c>
      <c r="B51" s="4">
        <v>1</v>
      </c>
      <c r="C51" s="4">
        <v>0</v>
      </c>
      <c r="D51" s="8">
        <v>0</v>
      </c>
      <c r="E51" s="7">
        <v>0</v>
      </c>
      <c r="F51" s="7">
        <v>3</v>
      </c>
      <c r="G51" s="4">
        <v>3</v>
      </c>
      <c r="H51" s="4">
        <v>0</v>
      </c>
      <c r="I51" s="8">
        <v>0</v>
      </c>
      <c r="J51" s="4">
        <v>0</v>
      </c>
    </row>
    <row r="52" s="4" customFormat="1" spans="1:10">
      <c r="A52" s="4" t="s">
        <v>525</v>
      </c>
      <c r="B52" s="4">
        <v>1</v>
      </c>
      <c r="C52" s="4">
        <v>1</v>
      </c>
      <c r="D52" s="8">
        <v>1</v>
      </c>
      <c r="E52" s="7">
        <v>152</v>
      </c>
      <c r="F52" s="7">
        <v>16</v>
      </c>
      <c r="G52" s="4">
        <v>16</v>
      </c>
      <c r="H52" s="4">
        <v>0</v>
      </c>
      <c r="I52" s="8">
        <v>0</v>
      </c>
      <c r="J52" s="4">
        <v>0</v>
      </c>
    </row>
    <row r="53" s="4" customFormat="1" spans="1:10">
      <c r="A53" s="4" t="s">
        <v>526</v>
      </c>
      <c r="B53" s="4">
        <v>1</v>
      </c>
      <c r="C53" s="4">
        <v>1</v>
      </c>
      <c r="D53" s="8">
        <v>1</v>
      </c>
      <c r="E53" s="7">
        <v>29</v>
      </c>
      <c r="F53" s="7">
        <v>7</v>
      </c>
      <c r="G53" s="4">
        <v>7</v>
      </c>
      <c r="H53" s="4">
        <v>0</v>
      </c>
      <c r="I53" s="8">
        <v>0</v>
      </c>
      <c r="J53" s="4">
        <v>0</v>
      </c>
    </row>
    <row r="54" s="4" customFormat="1" spans="1:10">
      <c r="A54" s="4" t="s">
        <v>527</v>
      </c>
      <c r="B54" s="4">
        <v>1</v>
      </c>
      <c r="C54" s="4">
        <v>0</v>
      </c>
      <c r="D54" s="8">
        <v>0</v>
      </c>
      <c r="E54" s="7">
        <v>1</v>
      </c>
      <c r="F54" s="7">
        <v>4</v>
      </c>
      <c r="G54" s="4">
        <v>4</v>
      </c>
      <c r="H54" s="4">
        <v>0</v>
      </c>
      <c r="I54" s="8">
        <v>0</v>
      </c>
      <c r="J54" s="4">
        <v>0</v>
      </c>
    </row>
    <row r="55" s="4" customFormat="1" spans="1:10">
      <c r="A55" s="4" t="s">
        <v>528</v>
      </c>
      <c r="B55" s="4">
        <v>1</v>
      </c>
      <c r="C55" s="4">
        <v>0</v>
      </c>
      <c r="D55" s="8">
        <v>0</v>
      </c>
      <c r="E55" s="7">
        <v>0</v>
      </c>
      <c r="F55" s="7">
        <v>3</v>
      </c>
      <c r="G55" s="4">
        <v>3</v>
      </c>
      <c r="H55" s="4">
        <v>0</v>
      </c>
      <c r="I55" s="8">
        <v>0</v>
      </c>
      <c r="J55" s="4">
        <v>0</v>
      </c>
    </row>
    <row r="56" s="4" customFormat="1" spans="1:10">
      <c r="A56" s="4" t="s">
        <v>529</v>
      </c>
      <c r="B56" s="4">
        <v>1</v>
      </c>
      <c r="C56" s="4">
        <v>1</v>
      </c>
      <c r="D56" s="8">
        <v>1</v>
      </c>
      <c r="E56" s="7">
        <v>51</v>
      </c>
      <c r="F56" s="7">
        <v>7</v>
      </c>
      <c r="G56" s="4">
        <v>7</v>
      </c>
      <c r="H56" s="4">
        <v>0</v>
      </c>
      <c r="I56" s="8">
        <v>0</v>
      </c>
      <c r="J56" s="4">
        <v>0</v>
      </c>
    </row>
    <row r="57" s="4" customFormat="1" spans="1:10">
      <c r="A57" s="4" t="s">
        <v>530</v>
      </c>
      <c r="B57" s="4">
        <v>6174</v>
      </c>
      <c r="C57" s="4">
        <v>2961</v>
      </c>
      <c r="D57" s="8">
        <v>0.4796</v>
      </c>
      <c r="E57" s="7">
        <v>28</v>
      </c>
      <c r="F57" s="7">
        <v>4.72</v>
      </c>
      <c r="G57" s="4">
        <v>29151</v>
      </c>
      <c r="H57" s="4">
        <v>177</v>
      </c>
      <c r="I57" s="8">
        <v>0.017</v>
      </c>
      <c r="J57" s="4">
        <v>0</v>
      </c>
    </row>
    <row r="58" spans="1:10">
      <c r="A58" t="s">
        <v>531</v>
      </c>
      <c r="B58">
        <f>B57-SUM(B11:B56)</f>
        <v>15</v>
      </c>
      <c r="D58" s="8"/>
      <c r="I58" s="8"/>
    </row>
    <row r="59" spans="1:10">
      <c r="A59" s="4"/>
      <c r="B59" s="4"/>
      <c r="C59" s="4"/>
      <c r="D59" s="4"/>
      <c r="E59" s="4"/>
      <c r="F59" s="4"/>
      <c r="G59" s="4"/>
      <c r="H59" s="4"/>
      <c r="I59"/>
    </row>
    <row r="60" spans="1:10">
      <c r="A60" s="4" t="s">
        <v>532</v>
      </c>
      <c r="B60" s="4"/>
      <c r="C60" s="4"/>
      <c r="D60" s="4"/>
      <c r="E60" s="4"/>
      <c r="F60" s="4"/>
      <c r="G60" s="4"/>
      <c r="H60" s="4"/>
      <c r="I60"/>
    </row>
    <row r="61" spans="1:10">
      <c r="A61" s="4"/>
      <c r="B61" s="4"/>
      <c r="C61" s="4"/>
      <c r="D61" s="4"/>
      <c r="E61" s="4"/>
      <c r="F61" s="4"/>
      <c r="G61" s="4"/>
      <c r="H61" s="4"/>
      <c r="I61"/>
    </row>
    <row r="62" spans="1:10">
      <c r="A62" s="4" t="s">
        <v>533</v>
      </c>
      <c r="B62" s="4"/>
      <c r="C62" s="4"/>
      <c r="D62" s="4"/>
      <c r="E62" s="4"/>
      <c r="F62" s="9"/>
      <c r="G62" s="9"/>
      <c r="H62" s="4"/>
      <c r="I62"/>
    </row>
    <row r="63" spans="1:10">
      <c r="A63" s="4" t="s">
        <v>534</v>
      </c>
      <c r="B63" s="4"/>
      <c r="C63" s="3"/>
      <c r="D63" s="10"/>
      <c r="E63" s="3"/>
      <c r="F63" s="8"/>
      <c r="G63" s="8"/>
      <c r="H63" s="3"/>
      <c r="I63"/>
    </row>
    <row r="64" spans="1:10">
      <c r="A64" s="4" t="s">
        <v>535</v>
      </c>
      <c r="B64" s="4"/>
      <c r="C64" s="3"/>
      <c r="D64" s="10"/>
      <c r="E64" s="3"/>
      <c r="F64" s="8"/>
      <c r="G64" s="8"/>
      <c r="H64" s="3"/>
      <c r="I64"/>
    </row>
    <row r="65" spans="1:10">
      <c r="A65" s="4" t="s">
        <v>536</v>
      </c>
      <c r="B65" s="4"/>
      <c r="C65" s="3"/>
      <c r="D65" s="10"/>
      <c r="E65" s="3"/>
      <c r="F65" s="8"/>
      <c r="G65" s="8"/>
      <c r="H65" s="3"/>
      <c r="I65"/>
    </row>
    <row r="66" spans="1:10">
      <c r="A66" s="4" t="s">
        <v>537</v>
      </c>
      <c r="B66" s="4"/>
      <c r="C66" s="3"/>
      <c r="D66" s="10"/>
      <c r="E66" s="3"/>
      <c r="F66" s="8"/>
      <c r="G66" s="8"/>
      <c r="H66" s="3"/>
      <c r="I66"/>
    </row>
    <row r="67" spans="1:10">
      <c r="A67" s="4" t="s">
        <v>538</v>
      </c>
      <c r="B67" s="4"/>
      <c r="C67" s="3"/>
      <c r="D67" s="10"/>
      <c r="E67" s="3"/>
      <c r="F67" s="8"/>
      <c r="G67" s="8"/>
      <c r="H67" s="3"/>
      <c r="I67"/>
    </row>
    <row r="68" spans="1:10">
      <c r="A68" s="4" t="s">
        <v>539</v>
      </c>
      <c r="B68" s="4"/>
      <c r="C68" s="3"/>
      <c r="D68" s="10"/>
      <c r="E68" s="3"/>
      <c r="F68" s="8"/>
      <c r="G68" s="8"/>
      <c r="H68" s="3"/>
      <c r="I68"/>
    </row>
    <row r="69" spans="1:10">
      <c r="A69" s="4"/>
      <c r="B69" s="4"/>
      <c r="C69" s="3"/>
      <c r="D69" s="10"/>
      <c r="E69" s="3"/>
      <c r="F69" s="8"/>
      <c r="G69" s="8"/>
      <c r="H69" s="3"/>
      <c r="I69" s="8"/>
      <c r="J69" s="4"/>
    </row>
    <row r="70" spans="1:10">
      <c r="A70" s="4" t="s">
        <v>540</v>
      </c>
      <c r="B70" s="4"/>
      <c r="C70" s="3"/>
      <c r="D70" s="10"/>
      <c r="E70" s="3"/>
      <c r="F70" s="8"/>
      <c r="G70" s="8"/>
      <c r="H70" s="3"/>
    </row>
    <row r="71" spans="1:10">
      <c r="A71" s="4" t="s">
        <v>2</v>
      </c>
      <c r="B71" s="4"/>
      <c r="C71" s="3"/>
      <c r="D71" s="10"/>
      <c r="E71" s="3"/>
      <c r="F71" s="8"/>
      <c r="G71" s="8"/>
      <c r="H71" s="3"/>
    </row>
    <row r="72" spans="1:10">
      <c r="A72" s="4" t="s">
        <v>541</v>
      </c>
      <c r="B72" s="4" t="s">
        <v>9</v>
      </c>
      <c r="C72" s="3" t="s">
        <v>11</v>
      </c>
      <c r="D72" s="10" t="s">
        <v>14</v>
      </c>
      <c r="E72" s="3" t="s">
        <v>16</v>
      </c>
      <c r="F72" s="8" t="s">
        <v>17</v>
      </c>
      <c r="G72" s="8" t="s">
        <v>8</v>
      </c>
      <c r="H72" s="3" t="s">
        <v>10</v>
      </c>
    </row>
    <row r="73" spans="1:10">
      <c r="A73" s="4" t="s">
        <v>542</v>
      </c>
      <c r="B73" s="4" t="s">
        <v>21</v>
      </c>
      <c r="C73" s="3">
        <v>1591.92</v>
      </c>
      <c r="D73" s="10">
        <v>15</v>
      </c>
      <c r="E73" s="3">
        <v>106.13</v>
      </c>
      <c r="F73" s="8">
        <v>0.0154</v>
      </c>
      <c r="G73" s="8">
        <v>0.0505</v>
      </c>
      <c r="H73" s="3">
        <v>2.59</v>
      </c>
    </row>
    <row r="74" spans="1:10">
      <c r="A74" s="4" t="s">
        <v>543</v>
      </c>
      <c r="B74" s="4" t="s">
        <v>21</v>
      </c>
      <c r="C74" s="3">
        <v>784.27</v>
      </c>
      <c r="D74" s="10">
        <v>4</v>
      </c>
      <c r="E74" s="3">
        <v>196.07</v>
      </c>
      <c r="F74" s="8">
        <v>0.0053</v>
      </c>
      <c r="G74" s="8">
        <v>0.0717</v>
      </c>
      <c r="H74" s="3">
        <v>1.48</v>
      </c>
    </row>
    <row r="75" spans="1:10">
      <c r="A75" s="4" t="s">
        <v>544</v>
      </c>
      <c r="B75" s="4" t="s">
        <v>21</v>
      </c>
      <c r="C75" s="3">
        <v>242.89</v>
      </c>
      <c r="D75" s="10">
        <v>2</v>
      </c>
      <c r="E75" s="3">
        <v>121.44</v>
      </c>
      <c r="F75" s="8">
        <v>0.0063</v>
      </c>
      <c r="G75" s="8">
        <v>0.0297</v>
      </c>
      <c r="H75" s="3">
        <v>3.04</v>
      </c>
    </row>
    <row r="76" spans="1:10">
      <c r="A76" s="4" t="s">
        <v>545</v>
      </c>
      <c r="B76" s="4" t="s">
        <v>21</v>
      </c>
      <c r="C76" s="3">
        <v>181.77</v>
      </c>
      <c r="D76" s="10">
        <v>2</v>
      </c>
      <c r="E76" s="3">
        <v>90.89</v>
      </c>
      <c r="F76" s="8">
        <v>0.0154</v>
      </c>
      <c r="G76" s="8">
        <v>0.0457</v>
      </c>
      <c r="H76" s="3">
        <v>2.84</v>
      </c>
    </row>
    <row r="77" spans="1:10">
      <c r="A77" s="4" t="s">
        <v>546</v>
      </c>
      <c r="B77" s="4" t="s">
        <v>21</v>
      </c>
      <c r="C77" s="3">
        <v>178.33</v>
      </c>
      <c r="D77" s="10">
        <v>1</v>
      </c>
      <c r="E77" s="3">
        <v>178.33</v>
      </c>
      <c r="F77" s="8">
        <v>0.0041</v>
      </c>
      <c r="G77" s="8">
        <v>0.0435</v>
      </c>
      <c r="H77" s="3">
        <v>2.12</v>
      </c>
    </row>
    <row r="78" spans="1:10">
      <c r="A78" s="4" t="s">
        <v>547</v>
      </c>
      <c r="B78" s="4" t="s">
        <v>21</v>
      </c>
      <c r="C78" s="3">
        <v>163.4</v>
      </c>
      <c r="D78" s="10">
        <v>1</v>
      </c>
      <c r="E78" s="3">
        <v>163.4</v>
      </c>
      <c r="F78" s="8">
        <v>0.0114</v>
      </c>
      <c r="G78" s="8">
        <v>0.0313</v>
      </c>
      <c r="H78" s="3">
        <v>4.19</v>
      </c>
    </row>
    <row r="79" spans="1:10">
      <c r="A79" s="4" t="s">
        <v>548</v>
      </c>
      <c r="B79" s="4" t="s">
        <v>21</v>
      </c>
      <c r="C79" s="3">
        <v>153.8</v>
      </c>
      <c r="D79" s="10">
        <v>0</v>
      </c>
      <c r="E79" s="3">
        <v>0</v>
      </c>
      <c r="F79" s="8">
        <v>0</v>
      </c>
      <c r="G79" s="8">
        <v>0.0346</v>
      </c>
      <c r="H79" s="3">
        <v>3.08</v>
      </c>
    </row>
    <row r="80" spans="1:10">
      <c r="A80" s="4" t="s">
        <v>549</v>
      </c>
      <c r="B80" s="4" t="s">
        <v>21</v>
      </c>
      <c r="C80" s="3">
        <v>146.67</v>
      </c>
      <c r="D80" s="10">
        <v>3</v>
      </c>
      <c r="E80" s="3">
        <v>48.89</v>
      </c>
      <c r="F80" s="8">
        <v>0.0508</v>
      </c>
      <c r="G80" s="8">
        <v>0.0463</v>
      </c>
      <c r="H80" s="3">
        <v>4.31</v>
      </c>
    </row>
    <row r="81" spans="1:8">
      <c r="A81" s="4" t="s">
        <v>550</v>
      </c>
      <c r="B81" s="4" t="s">
        <v>21</v>
      </c>
      <c r="C81" s="3">
        <v>143.22</v>
      </c>
      <c r="D81" s="10">
        <v>2</v>
      </c>
      <c r="E81" s="3">
        <v>71.61</v>
      </c>
      <c r="F81" s="8">
        <v>0.0132</v>
      </c>
      <c r="G81" s="8">
        <v>0.0357</v>
      </c>
      <c r="H81" s="3">
        <v>2.47</v>
      </c>
    </row>
    <row r="82" spans="1:8">
      <c r="A82" s="4" t="s">
        <v>551</v>
      </c>
      <c r="B82" s="4" t="s">
        <v>21</v>
      </c>
      <c r="C82" s="3">
        <v>131.71</v>
      </c>
      <c r="D82" s="10">
        <v>3</v>
      </c>
      <c r="E82" s="3">
        <v>43.9</v>
      </c>
      <c r="F82" s="8">
        <v>0.028</v>
      </c>
      <c r="G82" s="8">
        <v>0.0338</v>
      </c>
      <c r="H82" s="3">
        <v>3.06</v>
      </c>
    </row>
    <row r="83" spans="1:8">
      <c r="A83" s="4" t="s">
        <v>552</v>
      </c>
      <c r="B83" s="4" t="s">
        <v>21</v>
      </c>
      <c r="C83" s="3">
        <v>131.5</v>
      </c>
      <c r="D83" s="10">
        <v>1</v>
      </c>
      <c r="E83" s="3">
        <v>131.5</v>
      </c>
      <c r="F83" s="8">
        <v>0.0075</v>
      </c>
      <c r="G83" s="8">
        <v>0.034</v>
      </c>
      <c r="H83" s="3">
        <v>2.8</v>
      </c>
    </row>
    <row r="84" spans="1:8">
      <c r="A84" s="4" t="s">
        <v>553</v>
      </c>
      <c r="B84" s="4" t="s">
        <v>21</v>
      </c>
      <c r="C84" s="3">
        <v>122.58</v>
      </c>
      <c r="D84" s="10">
        <v>2</v>
      </c>
      <c r="E84" s="3">
        <v>61.29</v>
      </c>
      <c r="F84" s="8">
        <v>0.0263</v>
      </c>
      <c r="G84" s="8">
        <v>0.0415</v>
      </c>
      <c r="H84" s="3">
        <v>4.09</v>
      </c>
    </row>
    <row r="85" spans="1:8">
      <c r="A85" s="4" t="s">
        <v>554</v>
      </c>
      <c r="B85" s="4" t="s">
        <v>21</v>
      </c>
      <c r="C85" s="3">
        <v>90.63</v>
      </c>
      <c r="D85" s="10">
        <v>2</v>
      </c>
      <c r="E85" s="3">
        <v>45.31</v>
      </c>
      <c r="F85" s="8">
        <v>0.0328</v>
      </c>
      <c r="G85" s="8">
        <v>0.0296</v>
      </c>
      <c r="H85" s="3">
        <v>4.53</v>
      </c>
    </row>
    <row r="86" spans="1:8">
      <c r="A86" s="4" t="s">
        <v>555</v>
      </c>
      <c r="B86" s="4" t="s">
        <v>21</v>
      </c>
      <c r="C86" s="3">
        <v>90.43</v>
      </c>
      <c r="D86" s="10">
        <v>1</v>
      </c>
      <c r="E86" s="3">
        <v>90.43</v>
      </c>
      <c r="F86" s="8">
        <v>0.0179</v>
      </c>
      <c r="G86" s="8">
        <v>0.0439</v>
      </c>
      <c r="H86" s="3">
        <v>3.23</v>
      </c>
    </row>
    <row r="87" spans="1:8">
      <c r="A87" s="4" t="s">
        <v>556</v>
      </c>
      <c r="B87" s="4" t="s">
        <v>21</v>
      </c>
      <c r="C87" s="3">
        <v>78.17</v>
      </c>
      <c r="D87" s="10">
        <v>2</v>
      </c>
      <c r="E87" s="3">
        <v>39.08</v>
      </c>
      <c r="F87" s="8">
        <v>0.014</v>
      </c>
      <c r="G87" s="8">
        <v>0.0285</v>
      </c>
      <c r="H87" s="3">
        <v>2.52</v>
      </c>
    </row>
    <row r="88" spans="1:8">
      <c r="A88" s="4" t="s">
        <v>557</v>
      </c>
      <c r="B88" s="4" t="s">
        <v>21</v>
      </c>
      <c r="C88" s="3">
        <v>76.81</v>
      </c>
      <c r="D88" s="10">
        <v>1</v>
      </c>
      <c r="E88" s="3">
        <v>76.91</v>
      </c>
      <c r="F88" s="8">
        <v>0.0333</v>
      </c>
      <c r="G88" s="8">
        <v>0.0411</v>
      </c>
      <c r="H88" s="3">
        <v>4.27</v>
      </c>
    </row>
    <row r="89" spans="1:8">
      <c r="A89" s="4" t="s">
        <v>558</v>
      </c>
      <c r="B89" s="4" t="s">
        <v>21</v>
      </c>
      <c r="C89" s="3">
        <v>66.08</v>
      </c>
      <c r="D89" s="10">
        <v>1</v>
      </c>
      <c r="E89" s="3">
        <v>66.08</v>
      </c>
      <c r="F89" s="8">
        <v>0.027</v>
      </c>
      <c r="G89" s="8">
        <v>0.0473</v>
      </c>
      <c r="H89" s="3">
        <v>3.15</v>
      </c>
    </row>
    <row r="90" spans="1:8">
      <c r="A90" s="4" t="s">
        <v>559</v>
      </c>
      <c r="B90" s="4" t="s">
        <v>21</v>
      </c>
      <c r="C90" s="3">
        <v>64.16</v>
      </c>
      <c r="D90" s="10">
        <v>2</v>
      </c>
      <c r="E90" s="3">
        <v>32.08</v>
      </c>
      <c r="F90" s="8">
        <v>0.0476</v>
      </c>
      <c r="G90" s="8">
        <v>0.0154</v>
      </c>
      <c r="H90" s="3">
        <v>4.58</v>
      </c>
    </row>
    <row r="91" spans="1:8">
      <c r="A91" s="4" t="s">
        <v>560</v>
      </c>
      <c r="B91" s="4" t="s">
        <v>21</v>
      </c>
      <c r="C91" s="3">
        <v>56.27</v>
      </c>
      <c r="D91" s="10">
        <v>1</v>
      </c>
      <c r="E91" s="3">
        <v>56.27</v>
      </c>
      <c r="F91" s="8">
        <v>0.0159</v>
      </c>
      <c r="G91" s="8">
        <v>0.0258</v>
      </c>
      <c r="H91" s="3">
        <v>3.75</v>
      </c>
    </row>
    <row r="92" spans="1:8">
      <c r="A92" s="4" t="s">
        <v>561</v>
      </c>
      <c r="B92" s="4" t="s">
        <v>21</v>
      </c>
      <c r="C92" s="3">
        <v>55.97</v>
      </c>
      <c r="D92" s="10">
        <v>0</v>
      </c>
      <c r="E92" s="3">
        <v>0</v>
      </c>
      <c r="F92" s="8">
        <v>0</v>
      </c>
      <c r="G92" s="8">
        <v>0.0301</v>
      </c>
      <c r="H92" s="3">
        <v>3.29</v>
      </c>
    </row>
    <row r="93" spans="1:8">
      <c r="A93" s="4" t="s">
        <v>562</v>
      </c>
      <c r="B93" s="4" t="s">
        <v>21</v>
      </c>
      <c r="C93" s="3">
        <v>52.71</v>
      </c>
      <c r="D93" s="10">
        <v>0</v>
      </c>
      <c r="E93" s="3">
        <v>0</v>
      </c>
      <c r="F93" s="8">
        <v>0</v>
      </c>
      <c r="G93" s="8">
        <v>0.0606</v>
      </c>
      <c r="H93" s="3">
        <v>2.93</v>
      </c>
    </row>
    <row r="94" spans="1:8">
      <c r="A94" s="4" t="s">
        <v>563</v>
      </c>
      <c r="B94" s="4" t="s">
        <v>21</v>
      </c>
      <c r="C94" s="3">
        <v>42.79</v>
      </c>
      <c r="D94" s="10">
        <v>0</v>
      </c>
      <c r="E94" s="3">
        <v>0</v>
      </c>
      <c r="F94" s="8">
        <v>0</v>
      </c>
      <c r="G94" s="8">
        <v>0.0379</v>
      </c>
      <c r="H94" s="3">
        <v>1.19</v>
      </c>
    </row>
    <row r="95" spans="1:8">
      <c r="A95" s="4" t="s">
        <v>564</v>
      </c>
      <c r="B95" s="4" t="s">
        <v>21</v>
      </c>
      <c r="C95" s="3">
        <v>41.94</v>
      </c>
      <c r="D95" s="10">
        <v>1</v>
      </c>
      <c r="E95" s="3">
        <v>41.94</v>
      </c>
      <c r="F95" s="8">
        <v>0.025</v>
      </c>
      <c r="G95" s="8">
        <v>0.0309</v>
      </c>
      <c r="H95" s="3">
        <v>2.62</v>
      </c>
    </row>
    <row r="96" spans="1:8">
      <c r="A96" s="4" t="s">
        <v>565</v>
      </c>
      <c r="B96" s="4" t="s">
        <v>21</v>
      </c>
      <c r="C96" s="3">
        <v>40.92</v>
      </c>
      <c r="D96" s="10">
        <v>0</v>
      </c>
      <c r="E96" s="3">
        <v>0</v>
      </c>
      <c r="F96" s="8">
        <v>0</v>
      </c>
      <c r="G96" s="8">
        <v>0.0256</v>
      </c>
      <c r="H96" s="3">
        <v>4.55</v>
      </c>
    </row>
    <row r="97" spans="1:8">
      <c r="A97" s="4" t="s">
        <v>566</v>
      </c>
      <c r="B97" s="4" t="s">
        <v>21</v>
      </c>
      <c r="C97" s="3">
        <v>39.19</v>
      </c>
      <c r="D97" s="10">
        <v>1</v>
      </c>
      <c r="E97" s="3">
        <v>39.19</v>
      </c>
      <c r="F97" s="8">
        <v>0.0333</v>
      </c>
      <c r="G97" s="8">
        <v>0.0379</v>
      </c>
      <c r="H97" s="3">
        <v>3.56</v>
      </c>
    </row>
    <row r="98" spans="1:8">
      <c r="A98" s="4" t="s">
        <v>567</v>
      </c>
      <c r="B98" s="4" t="s">
        <v>21</v>
      </c>
      <c r="C98" s="3">
        <v>39.05</v>
      </c>
      <c r="D98" s="10">
        <v>2</v>
      </c>
      <c r="E98" s="3">
        <v>19.52</v>
      </c>
      <c r="F98" s="8">
        <v>0.3333</v>
      </c>
      <c r="G98" s="8">
        <v>0.043</v>
      </c>
      <c r="H98" s="3">
        <v>9.76</v>
      </c>
    </row>
    <row r="99" spans="1:8">
      <c r="A99" s="4" t="s">
        <v>568</v>
      </c>
      <c r="B99" s="4" t="s">
        <v>21</v>
      </c>
      <c r="C99" s="3">
        <v>37.9</v>
      </c>
      <c r="D99" s="10">
        <v>0</v>
      </c>
      <c r="E99" s="3">
        <v>0</v>
      </c>
      <c r="F99" s="8">
        <v>0</v>
      </c>
      <c r="G99" s="8">
        <v>0.0209</v>
      </c>
      <c r="H99" s="3">
        <v>3.16</v>
      </c>
    </row>
    <row r="100" spans="1:8">
      <c r="A100" s="4" t="s">
        <v>569</v>
      </c>
      <c r="B100" s="4" t="s">
        <v>21</v>
      </c>
      <c r="C100" s="3">
        <v>35.77</v>
      </c>
      <c r="D100" s="10">
        <v>0</v>
      </c>
      <c r="E100" s="3">
        <v>0</v>
      </c>
      <c r="F100" s="8">
        <v>0</v>
      </c>
      <c r="G100" s="8">
        <v>0.0232</v>
      </c>
      <c r="H100" s="3">
        <v>2.24</v>
      </c>
    </row>
    <row r="101" spans="1:8">
      <c r="A101" s="4" t="s">
        <v>570</v>
      </c>
      <c r="B101" s="4" t="s">
        <v>21</v>
      </c>
      <c r="C101" s="3">
        <v>35.62</v>
      </c>
      <c r="D101" s="10">
        <v>1</v>
      </c>
      <c r="E101" s="3">
        <v>35.62</v>
      </c>
      <c r="F101" s="8">
        <v>0.0238</v>
      </c>
      <c r="G101" s="8">
        <v>0.0188</v>
      </c>
      <c r="H101" s="3">
        <v>3.24</v>
      </c>
    </row>
    <row r="102" spans="1:8">
      <c r="A102" s="4" t="s">
        <v>571</v>
      </c>
      <c r="B102" s="4" t="s">
        <v>21</v>
      </c>
      <c r="C102" s="3">
        <v>35.11</v>
      </c>
      <c r="D102" s="10">
        <v>0</v>
      </c>
      <c r="E102" s="3">
        <v>0</v>
      </c>
      <c r="F102" s="8">
        <v>0</v>
      </c>
      <c r="G102" s="8">
        <v>0.0327</v>
      </c>
      <c r="H102" s="3">
        <v>2.19</v>
      </c>
    </row>
    <row r="103" spans="1:8">
      <c r="A103" s="4" t="s">
        <v>572</v>
      </c>
      <c r="B103" s="4" t="s">
        <v>21</v>
      </c>
      <c r="C103" s="3">
        <v>31.38</v>
      </c>
      <c r="D103" s="10">
        <v>0</v>
      </c>
      <c r="E103" s="3">
        <v>0</v>
      </c>
      <c r="F103" s="8">
        <v>0</v>
      </c>
      <c r="G103" s="8">
        <v>0.028</v>
      </c>
      <c r="H103" s="3">
        <v>3.92</v>
      </c>
    </row>
    <row r="104" spans="1:8">
      <c r="A104" s="4" t="s">
        <v>573</v>
      </c>
      <c r="B104" s="4" t="s">
        <v>21</v>
      </c>
      <c r="C104" s="3">
        <v>30.57</v>
      </c>
      <c r="D104" s="10">
        <v>0</v>
      </c>
      <c r="E104" s="3">
        <v>0</v>
      </c>
      <c r="F104" s="8">
        <v>0</v>
      </c>
      <c r="G104" s="8">
        <v>0.0256</v>
      </c>
      <c r="H104" s="3">
        <v>2.78</v>
      </c>
    </row>
    <row r="105" spans="1:8">
      <c r="A105" s="4" t="s">
        <v>574</v>
      </c>
      <c r="B105" s="4" t="s">
        <v>21</v>
      </c>
      <c r="C105" s="3">
        <v>28.58</v>
      </c>
      <c r="D105" s="10">
        <v>0</v>
      </c>
      <c r="E105" s="3">
        <v>0</v>
      </c>
      <c r="F105" s="8">
        <v>0</v>
      </c>
      <c r="G105" s="8">
        <v>0.0302</v>
      </c>
      <c r="H105" s="3">
        <v>2.2</v>
      </c>
    </row>
    <row r="106" spans="1:8">
      <c r="A106" s="4" t="s">
        <v>575</v>
      </c>
      <c r="B106" s="4" t="s">
        <v>21</v>
      </c>
      <c r="C106" s="3">
        <v>25.12</v>
      </c>
      <c r="D106" s="10">
        <v>1</v>
      </c>
      <c r="E106" s="3">
        <v>25.12</v>
      </c>
      <c r="F106" s="8">
        <v>0.0204</v>
      </c>
      <c r="G106" s="8">
        <v>0.0525</v>
      </c>
      <c r="H106" s="3">
        <v>1.48</v>
      </c>
    </row>
    <row r="107" spans="1:8">
      <c r="A107" s="4" t="s">
        <v>576</v>
      </c>
      <c r="B107" s="4" t="s">
        <v>21</v>
      </c>
      <c r="C107" s="3">
        <v>24.84</v>
      </c>
      <c r="D107" s="10">
        <v>0</v>
      </c>
      <c r="E107" s="3">
        <v>0</v>
      </c>
      <c r="F107" s="8">
        <v>0</v>
      </c>
      <c r="G107" s="8">
        <v>0.0461</v>
      </c>
      <c r="H107" s="3">
        <v>3.55</v>
      </c>
    </row>
    <row r="108" spans="1:8">
      <c r="A108" s="4" t="s">
        <v>577</v>
      </c>
      <c r="B108" s="4" t="s">
        <v>21</v>
      </c>
      <c r="C108" s="3">
        <v>23.5</v>
      </c>
      <c r="D108" s="10">
        <v>0</v>
      </c>
      <c r="E108" s="3">
        <v>0</v>
      </c>
      <c r="F108" s="8">
        <v>0</v>
      </c>
      <c r="G108" s="8">
        <v>0.0217</v>
      </c>
      <c r="H108" s="3">
        <v>3.92</v>
      </c>
    </row>
    <row r="109" spans="1:8">
      <c r="A109" s="4" t="s">
        <v>578</v>
      </c>
      <c r="B109" s="4" t="s">
        <v>21</v>
      </c>
      <c r="C109" s="3">
        <v>19.82</v>
      </c>
      <c r="D109" s="10">
        <v>0</v>
      </c>
      <c r="E109" s="3">
        <v>0</v>
      </c>
      <c r="F109" s="8">
        <v>0</v>
      </c>
      <c r="G109" s="8">
        <v>0.0595</v>
      </c>
      <c r="H109" s="3">
        <v>3.96</v>
      </c>
    </row>
    <row r="110" spans="1:8">
      <c r="A110" s="4" t="s">
        <v>579</v>
      </c>
      <c r="B110" s="4" t="s">
        <v>21</v>
      </c>
      <c r="C110" s="3">
        <v>19.65</v>
      </c>
      <c r="D110" s="10">
        <v>1</v>
      </c>
      <c r="E110" s="3">
        <v>19.65</v>
      </c>
      <c r="F110" s="8">
        <v>0.05</v>
      </c>
      <c r="G110" s="8">
        <v>0.0406</v>
      </c>
      <c r="H110" s="3">
        <v>1.51</v>
      </c>
    </row>
    <row r="111" spans="1:8">
      <c r="A111" s="4" t="s">
        <v>580</v>
      </c>
      <c r="B111" s="4" t="s">
        <v>21</v>
      </c>
      <c r="C111" s="3">
        <v>19.53</v>
      </c>
      <c r="D111" s="10">
        <v>0</v>
      </c>
      <c r="E111" s="3">
        <v>0</v>
      </c>
      <c r="F111" s="8">
        <v>0</v>
      </c>
      <c r="G111" s="8">
        <v>0.0698</v>
      </c>
      <c r="H111" s="3">
        <v>3.25</v>
      </c>
    </row>
    <row r="112" spans="1:8">
      <c r="A112" s="4" t="s">
        <v>581</v>
      </c>
      <c r="B112" s="4" t="s">
        <v>21</v>
      </c>
      <c r="C112" s="3">
        <v>18.83</v>
      </c>
      <c r="D112" s="10">
        <v>0</v>
      </c>
      <c r="E112" s="3">
        <v>0</v>
      </c>
      <c r="F112" s="8">
        <v>0</v>
      </c>
      <c r="G112" s="8">
        <v>0.0265</v>
      </c>
      <c r="H112" s="3">
        <v>6.28</v>
      </c>
    </row>
    <row r="113" spans="1:8">
      <c r="A113" s="4" t="s">
        <v>582</v>
      </c>
      <c r="B113" s="4" t="s">
        <v>21</v>
      </c>
      <c r="C113" s="3">
        <v>16.47</v>
      </c>
      <c r="D113" s="10">
        <v>0</v>
      </c>
      <c r="E113" s="3">
        <v>0</v>
      </c>
      <c r="F113" s="8">
        <v>0</v>
      </c>
      <c r="G113" s="8">
        <v>0.0106</v>
      </c>
      <c r="H113" s="3">
        <v>16.47</v>
      </c>
    </row>
    <row r="114" spans="1:8">
      <c r="A114" s="4" t="s">
        <v>583</v>
      </c>
      <c r="B114" s="4" t="s">
        <v>21</v>
      </c>
      <c r="C114" s="3">
        <v>16.31</v>
      </c>
      <c r="D114" s="10">
        <v>1</v>
      </c>
      <c r="E114" s="3">
        <v>16.31</v>
      </c>
      <c r="F114" s="8">
        <v>0.3333</v>
      </c>
      <c r="G114" s="8">
        <v>0.0566</v>
      </c>
      <c r="H114" s="3">
        <v>5.44</v>
      </c>
    </row>
    <row r="115" spans="1:8">
      <c r="A115" s="4" t="s">
        <v>584</v>
      </c>
      <c r="B115" s="4" t="s">
        <v>21</v>
      </c>
      <c r="C115" s="3">
        <v>15.94</v>
      </c>
      <c r="D115" s="10">
        <v>0</v>
      </c>
      <c r="E115" s="3">
        <v>0</v>
      </c>
      <c r="F115" s="8">
        <v>0</v>
      </c>
      <c r="G115" s="8">
        <v>0.0313</v>
      </c>
      <c r="H115" s="3">
        <v>5.31</v>
      </c>
    </row>
    <row r="116" spans="1:8">
      <c r="A116" s="4" t="s">
        <v>585</v>
      </c>
      <c r="B116" s="4" t="s">
        <v>21</v>
      </c>
      <c r="C116" s="4">
        <v>13.11</v>
      </c>
      <c r="D116" s="11">
        <v>0</v>
      </c>
      <c r="E116" s="4">
        <v>0</v>
      </c>
      <c r="F116" s="9">
        <v>0</v>
      </c>
      <c r="G116" s="9">
        <v>0.0265</v>
      </c>
      <c r="H116" s="4">
        <v>4.37</v>
      </c>
    </row>
    <row r="117" spans="1:8">
      <c r="A117" s="4" t="s">
        <v>586</v>
      </c>
      <c r="B117" s="4" t="s">
        <v>21</v>
      </c>
      <c r="C117" s="4">
        <v>12.97</v>
      </c>
      <c r="D117" s="4">
        <v>0</v>
      </c>
      <c r="E117" s="4">
        <v>0</v>
      </c>
      <c r="F117" s="9">
        <v>0</v>
      </c>
      <c r="G117" s="9">
        <v>0.0244</v>
      </c>
      <c r="H117" s="4">
        <v>2.16</v>
      </c>
    </row>
    <row r="118" spans="1:8">
      <c r="A118" s="4" t="s">
        <v>587</v>
      </c>
      <c r="B118" s="4" t="s">
        <v>21</v>
      </c>
      <c r="C118" s="4">
        <v>12.97</v>
      </c>
      <c r="D118" s="4">
        <v>0</v>
      </c>
      <c r="E118" s="4">
        <v>0</v>
      </c>
      <c r="F118" s="9">
        <v>0</v>
      </c>
      <c r="G118" s="4">
        <v>0.0215</v>
      </c>
      <c r="H118" s="4">
        <v>1.85</v>
      </c>
    </row>
    <row r="119" spans="1:8">
      <c r="A119" s="4" t="s">
        <v>588</v>
      </c>
      <c r="B119" s="4" t="s">
        <v>21</v>
      </c>
      <c r="C119" s="4">
        <v>12.04</v>
      </c>
      <c r="D119" s="11">
        <v>0</v>
      </c>
      <c r="E119" s="4">
        <v>0</v>
      </c>
      <c r="F119" s="9">
        <v>0</v>
      </c>
      <c r="G119" s="9">
        <v>0.1143</v>
      </c>
      <c r="H119" s="4">
        <v>3.01</v>
      </c>
    </row>
    <row r="120" spans="1:8">
      <c r="A120" s="4" t="s">
        <v>589</v>
      </c>
      <c r="B120" s="4" t="s">
        <v>21</v>
      </c>
      <c r="C120" s="4">
        <v>8.92</v>
      </c>
      <c r="D120" s="4">
        <v>0</v>
      </c>
      <c r="E120" s="4">
        <v>0</v>
      </c>
      <c r="F120" s="9">
        <v>0</v>
      </c>
      <c r="G120" s="9">
        <v>0.1111</v>
      </c>
      <c r="H120" s="4">
        <v>2.23</v>
      </c>
    </row>
    <row r="121" spans="1:8">
      <c r="A121" s="4" t="s">
        <v>590</v>
      </c>
      <c r="B121" s="4" t="s">
        <v>21</v>
      </c>
      <c r="C121" s="4">
        <v>7.57</v>
      </c>
      <c r="D121" s="4">
        <v>0</v>
      </c>
      <c r="E121" s="4">
        <v>0</v>
      </c>
      <c r="F121" s="4">
        <v>0</v>
      </c>
      <c r="G121" s="4">
        <v>0.0526</v>
      </c>
      <c r="H121" s="4">
        <v>2.52</v>
      </c>
    </row>
    <row r="122" spans="1:8">
      <c r="A122" s="4" t="s">
        <v>591</v>
      </c>
      <c r="B122" s="4" t="s">
        <v>21</v>
      </c>
      <c r="C122" s="3">
        <v>4.16</v>
      </c>
      <c r="D122" s="10">
        <v>0</v>
      </c>
      <c r="E122" s="3">
        <v>0</v>
      </c>
      <c r="F122" s="8">
        <v>0</v>
      </c>
      <c r="G122" s="8">
        <v>0.0349</v>
      </c>
      <c r="H122" s="3">
        <v>1.39</v>
      </c>
    </row>
    <row r="123" spans="1:8">
      <c r="A123" s="4" t="s">
        <v>592</v>
      </c>
      <c r="B123" s="4" t="s">
        <v>21</v>
      </c>
      <c r="C123" s="3">
        <v>2.82</v>
      </c>
      <c r="D123" s="10">
        <v>0</v>
      </c>
      <c r="E123" s="3">
        <v>0</v>
      </c>
      <c r="F123" s="8">
        <v>0</v>
      </c>
      <c r="G123" s="8">
        <v>0.0072</v>
      </c>
      <c r="H123" s="3">
        <v>2.82</v>
      </c>
    </row>
    <row r="124" spans="1:8">
      <c r="A124" s="4" t="s">
        <v>593</v>
      </c>
      <c r="B124" s="4" t="s">
        <v>21</v>
      </c>
      <c r="C124" s="3">
        <v>1.7</v>
      </c>
      <c r="D124" s="10">
        <v>0</v>
      </c>
      <c r="E124" s="3">
        <v>0</v>
      </c>
      <c r="F124" s="8">
        <v>0</v>
      </c>
      <c r="G124" s="8">
        <v>0.0448</v>
      </c>
      <c r="H124" s="3">
        <v>0.57</v>
      </c>
    </row>
    <row r="125" spans="1:8">
      <c r="A125" s="4" t="s">
        <v>594</v>
      </c>
      <c r="B125" s="4" t="s">
        <v>21</v>
      </c>
      <c r="C125" s="3">
        <v>1.38</v>
      </c>
      <c r="D125" s="10">
        <v>0</v>
      </c>
      <c r="E125" s="3">
        <v>0</v>
      </c>
      <c r="F125" s="8">
        <v>0</v>
      </c>
      <c r="G125" s="8">
        <v>0.02</v>
      </c>
      <c r="H125" s="3">
        <v>1.38</v>
      </c>
    </row>
    <row r="126" spans="1:8">
      <c r="A126" s="4" t="s">
        <v>595</v>
      </c>
      <c r="B126" s="4" t="s">
        <v>21</v>
      </c>
      <c r="C126" s="3">
        <v>5319.71</v>
      </c>
      <c r="D126" s="10">
        <v>54</v>
      </c>
      <c r="E126" s="3">
        <v>98.52</v>
      </c>
      <c r="F126" s="8">
        <v>0.012</v>
      </c>
      <c r="G126" s="8">
        <v>0.044</v>
      </c>
      <c r="H126" s="3">
        <v>2.51</v>
      </c>
    </row>
    <row r="127" spans="1:8">
      <c r="A127" s="4" t="s">
        <v>97</v>
      </c>
      <c r="B127" s="4" t="s">
        <v>21</v>
      </c>
      <c r="C127" s="3">
        <v>5809.38</v>
      </c>
      <c r="D127" s="10">
        <v>342</v>
      </c>
      <c r="E127" s="3">
        <v>16.99</v>
      </c>
      <c r="F127" s="8">
        <v>0.0565</v>
      </c>
      <c r="G127" s="8">
        <v>0.0268</v>
      </c>
      <c r="H127" s="3">
        <v>2.37</v>
      </c>
    </row>
    <row r="128" spans="1:8">
      <c r="A128" s="4" t="s">
        <v>98</v>
      </c>
      <c r="B128" s="4" t="s">
        <v>21</v>
      </c>
      <c r="C128" s="3">
        <v>3740.78</v>
      </c>
      <c r="D128" s="10">
        <v>44</v>
      </c>
      <c r="E128" s="3">
        <v>85.02</v>
      </c>
      <c r="F128" s="8">
        <v>0.0118</v>
      </c>
      <c r="G128" s="8">
        <v>0.0343</v>
      </c>
      <c r="H128" s="3">
        <v>2.75</v>
      </c>
    </row>
    <row r="129" spans="1:8">
      <c r="A129" s="4" t="s">
        <v>100</v>
      </c>
      <c r="B129" s="4" t="s">
        <v>21</v>
      </c>
      <c r="C129" s="3">
        <v>1682.48</v>
      </c>
      <c r="D129" s="10">
        <v>12</v>
      </c>
      <c r="E129" s="3">
        <v>140.21</v>
      </c>
      <c r="F129" s="8">
        <v>0.0149</v>
      </c>
      <c r="G129" s="8">
        <v>0.0882</v>
      </c>
      <c r="H129" s="3">
        <v>2.09</v>
      </c>
    </row>
    <row r="130" spans="1:8">
      <c r="A130" s="4" t="s">
        <v>596</v>
      </c>
      <c r="B130" s="4" t="s">
        <v>21</v>
      </c>
      <c r="C130" s="3">
        <v>0</v>
      </c>
      <c r="D130" s="10">
        <v>0</v>
      </c>
      <c r="E130" s="3">
        <v>0</v>
      </c>
      <c r="F130" s="8">
        <v>0</v>
      </c>
      <c r="G130" s="8" t="s">
        <v>22</v>
      </c>
      <c r="H130" s="3">
        <v>0</v>
      </c>
    </row>
    <row r="131" spans="1:8">
      <c r="A131" s="4" t="s">
        <v>101</v>
      </c>
      <c r="B131" s="4" t="s">
        <v>21</v>
      </c>
      <c r="C131" s="3">
        <v>386.12</v>
      </c>
      <c r="D131" s="10">
        <v>286</v>
      </c>
      <c r="E131" s="3">
        <v>1.35</v>
      </c>
      <c r="F131" s="8">
        <v>0.1885</v>
      </c>
      <c r="G131" s="8">
        <v>0.0068</v>
      </c>
      <c r="H131" s="3">
        <v>1.32</v>
      </c>
    </row>
    <row r="132" spans="1:8">
      <c r="A132" s="4" t="s">
        <v>597</v>
      </c>
      <c r="B132" s="4"/>
      <c r="C132" s="3">
        <f>C126-SUM(C73:C125)</f>
        <v>-0.0499999999983629</v>
      </c>
      <c r="D132" s="10">
        <v>0</v>
      </c>
    </row>
    <row r="134" spans="1:8">
      <c r="A134" s="4" t="s">
        <v>598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4" outlineLevelRow="4" outlineLevelCol="2"/>
  <cols>
    <col min="1" max="1" width="52" customWidth="1"/>
    <col min="2" max="3" width="20" customWidth="1"/>
  </cols>
  <sheetData>
    <row r="1" spans="1:3">
      <c r="A1" s="1" t="s">
        <v>599</v>
      </c>
      <c r="B1" s="1" t="s">
        <v>11</v>
      </c>
      <c r="C1" s="1" t="s">
        <v>16</v>
      </c>
    </row>
    <row r="2" spans="1:3">
      <c r="A2" t="s">
        <v>600</v>
      </c>
      <c r="B2" s="3">
        <f>data!C73</f>
        <v>1591.92</v>
      </c>
      <c r="C2" s="3">
        <f>data!E73</f>
        <v>106.13</v>
      </c>
    </row>
    <row r="3" spans="1:3">
      <c r="A3" t="s">
        <v>601</v>
      </c>
      <c r="B3" s="3">
        <f>data!C74</f>
        <v>784.27</v>
      </c>
      <c r="C3" s="3">
        <f>data!E74</f>
        <v>196.07</v>
      </c>
    </row>
    <row r="4" spans="1:3">
      <c r="A4" t="s">
        <v>602</v>
      </c>
      <c r="B4" s="3">
        <f>data!C75</f>
        <v>242.89</v>
      </c>
      <c r="C4" s="3">
        <f>data!E75</f>
        <v>121.44</v>
      </c>
    </row>
    <row r="5" spans="1:3">
      <c r="A5" t="s">
        <v>603</v>
      </c>
      <c r="B5" s="3">
        <f>data!C126-SUM(B2:B4)</f>
        <v>2700.63</v>
      </c>
      <c r="C5" s="3">
        <f>B5/(data!D126-SUM(data!D73,data!D74,data!D75))</f>
        <v>81.8372727272727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7"/>
  <sheetViews>
    <sheetView workbookViewId="0">
      <selection activeCell="A1" sqref="A1"/>
    </sheetView>
  </sheetViews>
  <sheetFormatPr defaultColWidth="9" defaultRowHeight="14.4" outlineLevelRow="6" outlineLevelCol="2"/>
  <cols>
    <col min="2" max="2" width="38" customWidth="1"/>
    <col min="3" max="3" width="18" customWidth="1"/>
  </cols>
  <sheetData>
    <row r="1" spans="2:3">
      <c r="B1" s="1" t="s">
        <v>474</v>
      </c>
      <c r="C1" s="1" t="s">
        <v>475</v>
      </c>
    </row>
    <row r="2" spans="2:3">
      <c r="B2" t="s">
        <v>484</v>
      </c>
      <c r="C2" s="2">
        <f>data!B11</f>
        <v>2821</v>
      </c>
    </row>
    <row r="3" spans="2:3">
      <c r="B3" t="s">
        <v>485</v>
      </c>
      <c r="C3" s="2">
        <f>data!B12</f>
        <v>2674</v>
      </c>
    </row>
    <row r="4" spans="2:3">
      <c r="B4" t="s">
        <v>486</v>
      </c>
      <c r="C4" s="2">
        <f>data!B13</f>
        <v>229</v>
      </c>
    </row>
    <row r="5" spans="2:3">
      <c r="B5" t="s">
        <v>487</v>
      </c>
      <c r="C5" s="2">
        <f>data!B14</f>
        <v>177</v>
      </c>
    </row>
    <row r="6" spans="2:3">
      <c r="B6" t="s">
        <v>488</v>
      </c>
      <c r="C6" s="2">
        <f>data!B15</f>
        <v>67</v>
      </c>
    </row>
    <row r="7" spans="2:3">
      <c r="B7" t="s">
        <v>603</v>
      </c>
      <c r="C7" s="2">
        <f>SUM(data!B16:B56)+data!B58</f>
        <v>206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Larsonpkg</vt:lpstr>
      <vt:lpstr>Insight report</vt:lpstr>
      <vt:lpstr>search term and keyword</vt:lpstr>
      <vt:lpstr>data</vt:lpstr>
      <vt:lpstr>matched location pivot table</vt:lpstr>
      <vt:lpstr>Session source 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thạch phạm</cp:lastModifiedBy>
  <dcterms:created xsi:type="dcterms:W3CDTF">2026-09-03T14:42:00Z</dcterms:created>
  <dcterms:modified xsi:type="dcterms:W3CDTF">2026-10-07T02:00:33Z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F2E17CCFB2F94390A739D33179123376_12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