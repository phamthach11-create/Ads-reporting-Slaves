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Ballistix" sheetId="1" r:id="rId1"/>
    <sheet name="Automate IT" sheetId="2" r:id="rId2"/>
    <sheet name="Larsonpkg" sheetId="3" r:id="rId3"/>
  </sheets>
  <definedNames>
    <definedName name="_xlnm._FilterDatabase" localSheetId="2" hidden="1">Larsonpkg!$A$5:$O$8</definedName>
    <definedName name="_xlnm._FilterDatabase" localSheetId="0" hidden="1">Ballistix!#REF!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<sst xmlns="http://schemas.openxmlformats.org/spreadsheetml/2006/main" count="248" uniqueCount="108">
  <si>
    <t>Google</t>
  </si>
  <si>
    <t>Campaign performance</t>
  </si>
  <si>
    <t>September 27, 2026 - October 3, 2026</t>
  </si>
  <si>
    <t>Campaign</t>
  </si>
  <si>
    <t>Campaign state</t>
  </si>
  <si>
    <t>Campaign type</t>
  </si>
  <si>
    <t>Clicks</t>
  </si>
  <si>
    <t>Impr.</t>
  </si>
  <si>
    <t>CTR</t>
  </si>
  <si>
    <t>Currency code</t>
  </si>
  <si>
    <t>Avg. CPC</t>
  </si>
  <si>
    <t>Cost</t>
  </si>
  <si>
    <t>Impr. (Abs. Top) %</t>
  </si>
  <si>
    <t>Impr. (Top) %</t>
  </si>
  <si>
    <t>Conversions</t>
  </si>
  <si>
    <t>View-through conv.</t>
  </si>
  <si>
    <t>Cost / conv.</t>
  </si>
  <si>
    <t>Conv. rate</t>
  </si>
  <si>
    <t>Subscribe ads - update 8/31</t>
  </si>
  <si>
    <t>Enabled</t>
  </si>
  <si>
    <t>Demand Gen</t>
  </si>
  <si>
    <t>USD</t>
  </si>
  <si>
    <t>Key metrics</t>
  </si>
  <si>
    <t>This week</t>
  </si>
  <si>
    <t>Previous week</t>
  </si>
  <si>
    <t>Change</t>
  </si>
  <si>
    <t>Impression</t>
  </si>
  <si>
    <t>Click</t>
  </si>
  <si>
    <t>Conversion</t>
  </si>
  <si>
    <t>Cost/conv</t>
  </si>
  <si>
    <t xml:space="preserve">Good and stable. Most of the conversions come from single long video with tittle Your Star Salesperson is Killing Your Growth
</t>
  </si>
  <si>
    <t>Linkedin</t>
  </si>
  <si>
    <t>Campaign Ballistix Book bundle - lead - thach</t>
  </si>
  <si>
    <t>Lead (work email)</t>
  </si>
  <si>
    <t>Cost per lead (work email)</t>
  </si>
  <si>
    <t>CPC</t>
  </si>
  <si>
    <t>Our CPL keeps increasing recently. Maybe the system tried to find new audience. i set the bid cap to reduce the cost. lets see</t>
  </si>
  <si>
    <t>Open AI ads</t>
  </si>
  <si>
    <t>campaign_name</t>
  </si>
  <si>
    <t>campaign_status</t>
  </si>
  <si>
    <t>impressions</t>
  </si>
  <si>
    <t>clicks</t>
  </si>
  <si>
    <t>conversions</t>
  </si>
  <si>
    <t>spend</t>
  </si>
  <si>
    <t>ctr</t>
  </si>
  <si>
    <t>cpc</t>
  </si>
  <si>
    <t>cpm</t>
  </si>
  <si>
    <t>budget_amount</t>
  </si>
  <si>
    <t>budget_type</t>
  </si>
  <si>
    <t>start_time</t>
  </si>
  <si>
    <t>end_time</t>
  </si>
  <si>
    <t>Lead - book bundle - 8/8/26</t>
  </si>
  <si>
    <t>active</t>
  </si>
  <si>
    <t>daily</t>
  </si>
  <si>
    <t>2026-08-07T15:42:30-07:00</t>
  </si>
  <si>
    <t>Total</t>
  </si>
  <si>
    <t>in the 2nd week after we changed the landing page, the results get worst. i suggest we reverse to the old landing page. we now track by url parameter</t>
  </si>
  <si>
    <t>There is other video boosted campaign. I guess your boss boosted it</t>
  </si>
  <si>
    <t>X Ads</t>
  </si>
  <si>
    <t>Time period</t>
  </si>
  <si>
    <t>Campaign name</t>
  </si>
  <si>
    <t>Delivery status</t>
  </si>
  <si>
    <t>Impressions</t>
  </si>
  <si>
    <t>Spend</t>
  </si>
  <si>
    <t>Link clicks</t>
  </si>
  <si>
    <t>CPM</t>
  </si>
  <si>
    <t>Cost per link click</t>
  </si>
  <si>
    <t>Leads</t>
  </si>
  <si>
    <t>Cost per lead</t>
  </si>
  <si>
    <t>2026-09-27 - 2026-10-03</t>
  </si>
  <si>
    <t>Quick promote · Android · Maximizing clockspeed is…</t>
  </si>
  <si>
    <t>Active</t>
  </si>
  <si>
    <t>-</t>
  </si>
  <si>
    <t>Lead - book bundle - 30/8/26 - thach</t>
  </si>
  <si>
    <t>Lead</t>
  </si>
  <si>
    <t>The lead campaign has the same result as chat gpt leads after we changed landing page. we should reverse. we now track by urk parameter</t>
  </si>
  <si>
    <t>New boosted video is set by your boss i guess</t>
  </si>
  <si>
    <t>Google Ads</t>
  </si>
  <si>
    <t>Sub - Oct 1, 2026 - thach</t>
  </si>
  <si>
    <t>We just launch new Youtube subscriber campaign. keep observing</t>
  </si>
  <si>
    <t>Campaign linkedin Lead form - Jan 23rd 2026</t>
  </si>
  <si>
    <t>Several weeks without conversion. I stopped the lead campaign. I plan to start new campaign for you</t>
  </si>
  <si>
    <t>Pelican - Web traffic - homepage - 6/29/26</t>
  </si>
  <si>
    <t>Performance Max</t>
  </si>
  <si>
    <t>Pelican - lead - home page 15/8/25</t>
  </si>
  <si>
    <t>Search</t>
  </si>
  <si>
    <t>LPC - Web traffic - homepage - 6/7/26</t>
  </si>
  <si>
    <t>Lead (search)</t>
  </si>
  <si>
    <t>CPL (account level)</t>
  </si>
  <si>
    <t>Youtube subscriber</t>
  </si>
  <si>
    <t>We have great weeks with more clicks and conversions</t>
  </si>
  <si>
    <t>The Pelican campaigns have lead again after my changes</t>
  </si>
  <si>
    <t>Linkedin has been paused. We shift to Open Ai Ads now</t>
  </si>
  <si>
    <t>Open AI Ads</t>
  </si>
  <si>
    <t>ad_group_name</t>
  </si>
  <si>
    <t>ad_group_status</t>
  </si>
  <si>
    <t>context_hints</t>
  </si>
  <si>
    <t>billing_event_type</t>
  </si>
  <si>
    <t>max_bid</t>
  </si>
  <si>
    <t>Conversion - All products</t>
  </si>
  <si>
    <t>Crates &amp; bases</t>
  </si>
  <si>
    <t>["Larson Packaging Company (LPC) designs and manufactures custom crates and bases for shipping high-value","heavy","fragile","and sensitive industrial equipment.","Solutions include custom wooden shipping crates","server rack crates","reusable and tool-less crates","hybrid wood/corrugated crates","shock-mount and vibration-protective floater bases","rack pallets","and heavy-duty skids.","Target B2B customers include packaging engineers","operations","logistics","supply chain","procurement","manufacturing","and engineering teams in data centers/AI infrastructure","aerospace","defense","medical devices","electronics","robotics","drones","and industrial equipment.","Prioritize users who need to safely ship heavy or expensive equipment","prevent shock/vibration or transit damage","secure equipment during transportation","ship server racks","improve loading/unloading","replace inadequate crates","reduce shipping damage","or source custom/reusable shipping crates.","Strong commercial intent includes users discussing specific equipment dimensions","weight","fragility","shipping method","crate specifications","quantity","shock/vibration requirements","or actively looking for a custom crate manufacturer or quote.","Avoid consumer moving boxes","household storage","decorative crates","furniture","DIY woodworking","and general-purpose commodity packaging."]</t>
  </si>
  <si>
    <t>impression</t>
  </si>
  <si>
    <t>Foam sets &amp; inserts</t>
  </si>
  <si>
    <t>["Larson Packaging Company (LPC) provides custom engineered foam sets","foam inserts","cushioning systems","and protective foam packaging for B2B companies that need to protect fragile","sensitive","high-value","or technical equipment during shipping","transportation","handling","and storage.","LPC designs and manufactures custom foam specifically around the customer's product. Foam solutions are engineered according to product dimensions","weight","geometry","fragility","sensitivity","shock and vibration requirements","shipping environment","case or container type","quantity","and required level of protection.","Products and capabilities include: custom foam inserts","case inserts","foam sets","foam assemblies","foam caps and end caps","die-cut foam pads","plain pads","bars and pads for blocking and bracing","engineered cushioning systems","floater bases","shock pallet cushioning","floater skids and feet","ESD/static-control foam packaging","and custom protective foam for cases","crates","corrugated boxes","plastic boxes","ATA cases","and molded hard cases.","Foam materials include: polyethylene (PE)","cross-linked polyethylene (XLPE)","polyurethane (PU)","expanded polyethylene (EPE)","expanded polypropylene (EPP)","Ethafoam","specialty foams","anti-static foam","and ESD foam. LPC can help customers determine the appropriate foam material","density","thickness","configuration","and amount of cushioning for their application.","LPC provides in-house foam engineering and manufacturing","including custom foam design","CNC cutting","waterjet cutting","die cutting","fabrication","and assembly. The goal is to provide the required shock","vibration","impact","abrasion","and surface protection while controlling packaging and operational costs.","Ideal customers are B2B organizations transporting or storing expensive","fragile","sensitive","or technically complex equipment. Relevant industries include aerospace and space","Cloud/AI/data center infrastructure","server and networking equipment","electronics and communications","medical devices and life sciences","laser and optics","military and defense","drones/UAV/UAS","robotics and autonomous vehicles","ocean and marine sciences","and industrial equipment manufacturers.","Relevant decision-makers and influencers include: packaging engineers","mechanical engineers","design engineers","manufacturing engineers","operations managers","supply chain managers","logistics managers","procurement managers","purchasing managers","sourcing managers","manufacturing managers","product engineers","quality engineers","shipping managers","warehouse managers","program managers","and other professionals responsible for protecting or transporting equipment.","Prioritize conversations where a business has an active packaging problem or purchasing need","including users who need custom foam for a specific product","equipment","case","crate","or box; need a foam insert made to exact dimensions; need help selecting foam type","density","or thickness; need cushioning for fragile or high-value equipment; need shock or vibration protection; need ESD or anti-static foam for electronics; need foam that protects Class A surfaces; need custom inserts to organize multiple components; need replacement or redesigned foam packaging; or need a manufacturer capable of producing custom foam packaging at scale.","Also prioritize users discussing shipping damage","vibration damage","shock damage","scratched or damaged surfaces","equipment moving inside a case","inadequate cushioning","product returns caused by transit damage","packaging failures","excessive packaging costs","inefficient packing","or the need to improve product protection during transportation.","Relevant high-intent searches and conversations may include: custom foam inserts","custom packaging foam","protective foam inserts","foam case inserts","custom cut foam","CNC cut foam","waterjet cut foam","die-cut foam","equipment case foam","protective packaging foam","industrial foam packaging","polyethylene foam inserts","XLPE foam","polyurethane packaging foam","ESD foam packaging","anti-static foam inserts","shock absorbing foam","vibration protection foam","custom cushioning systems","foam inserts for shipping cases","foam inserts for ATA cases","custom hard case foam","and engineered foam packaging.","LPC is especially relevant when standard or off-the-shelf foam is not sufficient and the customer needs a custom-engineered solution based on the actual product and shipping environment. The desired conversion is for qualified B2B prospects with a real packaging requirement to request a custom foam quote or submit their project details to LPC.","Do not prioritize conversations about consumer foam products or foam unrelated to industrial protective packaging. Avoid mattresses","pillows","furniture foam","upholstery","insulation","construction foam","spray foam","soundproofing/acoustic foam","craft foam","cosplay foam","floral foam","cleaning foam","food foam","recreational foam products","consumer DIY projects","or users simply looking to buy generic foam sheets for personal use.","Avoid low-intent educational conversations about foam chemistry or materials unless the user also demonstrates a commercial need for custom protective packaging","cushioning","shipping protection","case inserts","or industrial equipment protection."]</t>
  </si>
  <si>
    <t>total</t>
  </si>
  <si>
    <t>We got zero conversion. CPC is higher. tracking still working</t>
  </si>
  <si>
    <t>I decide to focus only on foam sets and insert. make some changes in ad content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</si>
</sst>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 #,##0.00_ ;_ * \-#,##0.00_ ;_ * &quot;-&quot;??.00_ ;_ @_ "/>
    <numFmt numFmtId="179" formatCode="0.00_ "/>
    <numFmt numFmtId="180" formatCode="_ * #,##0_ ;_ * \-#,##0_ ;_ * &quot;-&quot;??_ ;_ @_ "/>
    <numFmt numFmtId="181" formatCode="0_ "/>
  </numFmts>
  <fonts count="25">
    <font>
      <sz val="11"/>
      <color theme="1"/>
      <name val="Calibri"/>
      <charset val="134"/>
      <scheme val="minor"/>
    </font>
    <font>
      <sz val="11"/>
      <name val="Calibri"/>
      <charset val="134"/>
      <scheme val="minor"/>
    </font>
    <font>
      <sz val="11"/>
      <color rgb="FFFF0000"/>
      <name val="Calibri"/>
      <charset val="134"/>
      <scheme val="minor"/>
    </font>
    <font>
      <b/>
      <sz val="11"/>
      <color theme="1"/>
      <name val="Calibri"/>
      <charset val="134"/>
      <scheme val="minor"/>
    </font>
    <font>
      <sz val="11"/>
      <color rgb="FF202124"/>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00B0F0"/>
        <bgColor indexed="64"/>
      </patternFill>
    </fill>
    <fill>
      <patternFill patternType="solid">
        <fgColor rgb="FF91D2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47">
    <xf numFmtId="0" fontId="0" fillId="0" borderId="0" xfId="0">
      <alignment vertical="center"/>
    </xf>
    <xf numFmtId="0" fontId="0" fillId="0" borderId="0" xfId="0" applyFill="1" applyAlignment="1">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0" xfId="0" applyFont="1">
      <alignment vertical="center"/>
    </xf>
    <xf numFmtId="0" fontId="2" fillId="0" borderId="0" xfId="0" applyFont="1">
      <alignment vertical="center"/>
    </xf>
    <xf numFmtId="178" fontId="0" fillId="0" borderId="0" xfId="1" applyNumberFormat="1">
      <alignment vertical="center"/>
    </xf>
    <xf numFmtId="3" fontId="0" fillId="0" borderId="0" xfId="0" applyNumberFormat="1" applyFill="1" applyAlignment="1">
      <alignment vertical="center"/>
    </xf>
    <xf numFmtId="10" fontId="0" fillId="0" borderId="0" xfId="0" applyNumberFormat="1" applyFill="1" applyAlignment="1">
      <alignment vertical="center"/>
    </xf>
    <xf numFmtId="10" fontId="0" fillId="0" borderId="0" xfId="3" applyNumberFormat="1">
      <alignment vertical="center"/>
    </xf>
    <xf numFmtId="176" fontId="0" fillId="0" borderId="0" xfId="1">
      <alignment vertical="center"/>
    </xf>
    <xf numFmtId="10" fontId="0" fillId="0" borderId="0" xfId="0" applyNumberFormat="1">
      <alignment vertical="center"/>
    </xf>
    <xf numFmtId="10" fontId="4" fillId="0" borderId="0" xfId="0" applyNumberFormat="1" applyFont="1" applyAlignment="1">
      <alignment vertical="center"/>
      <extLst>
        <ext xmlns:etc="http://www.wps.cn/officeDocument/2017/etCustomData" uri="{F19249F5-4A6E-446B-B59F-E2C9F2DAA1D5}">
          <etc:displayText val="2"/>
        </ext>
      </extLst>
    </xf>
    <xf numFmtId="0" fontId="3" fillId="0" borderId="0" xfId="0" applyFont="1" applyAlignment="1">
      <alignment horizontal="left" vertical="center"/>
    </xf>
    <xf numFmtId="179" fontId="0" fillId="0" borderId="0" xfId="0" applyNumberFormat="1">
      <alignment vertical="center"/>
    </xf>
    <xf numFmtId="10" fontId="0" fillId="0" borderId="0" xfId="3" applyNumberFormat="1" applyAlignment="1">
      <alignment horizontal="right" vertical="center"/>
    </xf>
    <xf numFmtId="180" fontId="0" fillId="0" borderId="0" xfId="1" applyNumberFormat="1">
      <alignment vertical="center"/>
    </xf>
    <xf numFmtId="181" fontId="0" fillId="0" borderId="0" xfId="0" applyNumberFormat="1">
      <alignment vertical="center"/>
    </xf>
    <xf numFmtId="178" fontId="1" fillId="0" borderId="0" xfId="1" applyNumberFormat="1" applyFont="1">
      <alignment vertical="center"/>
    </xf>
    <xf numFmtId="178" fontId="2" fillId="0" borderId="0" xfId="1" applyNumberFormat="1" applyFont="1">
      <alignment vertical="center"/>
    </xf>
    <xf numFmtId="178" fontId="3" fillId="0" borderId="0" xfId="1" applyNumberFormat="1" applyFont="1">
      <alignment vertical="center"/>
    </xf>
    <xf numFmtId="178" fontId="0" fillId="0" borderId="0" xfId="1" applyNumberFormat="1" applyFont="1">
      <alignment vertical="center"/>
    </xf>
    <xf numFmtId="9" fontId="0" fillId="0" borderId="0" xfId="3">
      <alignment vertical="center"/>
    </xf>
    <xf numFmtId="0" fontId="0" fillId="2" borderId="0" xfId="0" applyFill="1">
      <alignment vertical="center"/>
    </xf>
    <xf numFmtId="178" fontId="2" fillId="0" borderId="0" xfId="1" applyNumberFormat="1" applyFont="1">
      <alignment vertical="center"/>
    </xf>
    <xf numFmtId="9" fontId="0" fillId="0" borderId="0" xfId="3" applyAlignment="1">
      <alignment horizontal="right" vertical="center"/>
    </xf>
    <xf numFmtId="3" fontId="0" fillId="0" borderId="0" xfId="0" applyNumberFormat="1">
      <alignment vertical="center"/>
    </xf>
    <xf numFmtId="0" fontId="0" fillId="0" borderId="0" xfId="0" applyFill="1" applyAlignment="1">
      <alignment vertical="center"/>
    </xf>
    <xf numFmtId="179" fontId="0" fillId="2" borderId="0" xfId="0" applyNumberFormat="1" applyFill="1">
      <alignment vertical="center"/>
    </xf>
    <xf numFmtId="10" fontId="0" fillId="2" borderId="0" xfId="3" applyNumberFormat="1" applyFill="1" applyAlignment="1">
      <alignment horizontal="right" vertical="center"/>
    </xf>
    <xf numFmtId="10" fontId="0" fillId="0" borderId="0" xfId="0" applyNumberFormat="1" applyFont="1" applyFill="1" applyBorder="1" applyAlignment="1" applyProtection="1">
      <alignment vertical="center"/>
    </xf>
    <xf numFmtId="0" fontId="0" fillId="0" borderId="0" xfId="0" applyFont="1" applyFill="1" applyAlignment="1"/>
    <xf numFmtId="0" fontId="0" fillId="0" borderId="0" xfId="0" applyAlignment="1">
      <alignment vertical="center"/>
    </xf>
    <xf numFmtId="10" fontId="0" fillId="0" borderId="0" xfId="0" applyNumberFormat="1" applyAlignment="1">
      <alignment horizontal="right" vertical="center"/>
    </xf>
    <xf numFmtId="10" fontId="0" fillId="2" borderId="0" xfId="0" applyNumberFormat="1" applyFill="1" applyAlignment="1">
      <alignment horizontal="right" vertical="center"/>
    </xf>
    <xf numFmtId="0" fontId="0" fillId="0" borderId="0" xfId="0" applyAlignment="1">
      <alignment vertical="center" wrapText="1"/>
    </xf>
    <xf numFmtId="176" fontId="0" fillId="2" borderId="0" xfId="1" applyFill="1">
      <alignment vertical="center"/>
    </xf>
    <xf numFmtId="0" fontId="3" fillId="3" borderId="0" xfId="0" applyFont="1" applyFill="1" applyAlignment="1"/>
    <xf numFmtId="0" fontId="5" fillId="0" borderId="0" xfId="0" applyFont="1" applyFill="1" applyAlignment="1"/>
    <xf numFmtId="1" fontId="5" fillId="0" borderId="0" xfId="0" applyNumberFormat="1" applyFont="1" applyFill="1" applyAlignment="1"/>
    <xf numFmtId="2" fontId="5" fillId="0" borderId="0" xfId="0" applyNumberFormat="1" applyFont="1" applyFill="1" applyAlignment="1"/>
    <xf numFmtId="10" fontId="5" fillId="0" borderId="0" xfId="0" applyNumberFormat="1" applyFont="1" applyFill="1" applyAlignment="1"/>
    <xf numFmtId="180" fontId="0" fillId="0" borderId="0" xfId="1" applyNumberFormat="1" applyFont="1" applyFill="1" applyAlignment="1"/>
    <xf numFmtId="2" fontId="0" fillId="0" borderId="0" xfId="0" applyNumberFormat="1" applyFont="1" applyFill="1" applyAlignment="1"/>
    <xf numFmtId="10" fontId="0" fillId="0" borderId="0" xfId="0" applyNumberFormat="1" applyFont="1" applyFill="1" applyAlignment="1"/>
    <xf numFmtId="0" fontId="0" fillId="0" borderId="0" xfId="0" applyAlignment="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20</xdr:row>
      <xdr:rowOff>0</xdr:rowOff>
    </xdr:from>
    <xdr:to>
      <xdr:col>8</xdr:col>
      <xdr:colOff>76200</xdr:colOff>
      <xdr:row>34</xdr:row>
      <xdr:rowOff>129540</xdr:rowOff>
    </xdr:to>
    <xdr:pic>
      <xdr:nvPicPr>
        <xdr:cNvPr id="2" name="Picture 1"/>
        <xdr:cNvPicPr>
          <a:picLocks noChangeAspect="1"/>
        </xdr:cNvPicPr>
      </xdr:nvPicPr>
      <xdr:blipFill>
        <a:blip r:embed="rId1"/>
        <a:stretch>
          <a:fillRect/>
        </a:stretch>
      </xdr:blipFill>
      <xdr:spPr>
        <a:xfrm>
          <a:off x="0" y="3657600"/>
          <a:ext cx="9067800" cy="268986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21</xdr:row>
      <xdr:rowOff>0</xdr:rowOff>
    </xdr:from>
    <xdr:to>
      <xdr:col>11</xdr:col>
      <xdr:colOff>601980</xdr:colOff>
      <xdr:row>38</xdr:row>
      <xdr:rowOff>175260</xdr:rowOff>
    </xdr:to>
    <xdr:pic>
      <xdr:nvPicPr>
        <xdr:cNvPr id="3" name="Picture 2"/>
        <xdr:cNvPicPr>
          <a:picLocks noChangeAspect="1"/>
        </xdr:cNvPicPr>
      </xdr:nvPicPr>
      <xdr:blipFill>
        <a:blip r:embed="rId1"/>
        <a:stretch>
          <a:fillRect/>
        </a:stretch>
      </xdr:blipFill>
      <xdr:spPr>
        <a:xfrm>
          <a:off x="0" y="3840480"/>
          <a:ext cx="9067800" cy="328422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0"/>
  <sheetViews>
    <sheetView tabSelected="1" zoomScaleSheetLayoutView="60" topLeftCell="A55" workbookViewId="0">
      <selection activeCell="A80" sqref="A80"/>
    </sheetView>
  </sheetViews>
  <sheetFormatPr defaultColWidth="10" defaultRowHeight="14.4"/>
  <cols>
    <col min="1" max="1" width="25.7777777777778" customWidth="1"/>
    <col min="2" max="2" width="27.7777777777778" customWidth="1"/>
    <col min="3" max="3" width="14.1111111111111" customWidth="1"/>
    <col min="4" max="4" width="11" customWidth="1"/>
    <col min="5" max="5" width="18.7777777777778" customWidth="1"/>
    <col min="6" max="6" width="10" customWidth="1"/>
    <col min="7" max="7" width="12.1111111111111" customWidth="1"/>
    <col min="8" max="8" width="11.5555555555556" customWidth="1"/>
    <col min="9" max="9" width="11" customWidth="1"/>
    <col min="10" max="10" width="11.4444444444444" customWidth="1"/>
    <col min="11" max="11" width="13.3333333333333" customWidth="1"/>
    <col min="12" max="12" width="11.7777777777778" customWidth="1"/>
    <col min="13" max="13" width="18.5555555555556" hidden="1" customWidth="1"/>
    <col min="14" max="14" width="11.6666666666667" customWidth="1"/>
    <col min="15" max="15" width="10.1111111111111" customWidth="1"/>
  </cols>
  <sheetData>
    <row r="1" spans="1:15">
      <c r="A1" s="4" t="s">
        <v>0</v>
      </c>
    </row>
    <row r="2" s="1" customFormat="1" spans="1:15">
      <c r="A2" s="1" t="s">
        <v>1</v>
      </c>
    </row>
    <row r="3" s="1" customFormat="1" spans="1:15">
      <c r="A3" s="1" t="s">
        <v>2</v>
      </c>
    </row>
    <row r="4" s="1" customFormat="1"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1" customFormat="1" spans="1:15">
      <c r="A5" s="1" t="s">
        <v>18</v>
      </c>
      <c r="B5" s="1" t="s">
        <v>19</v>
      </c>
      <c r="C5" s="1" t="s">
        <v>20</v>
      </c>
      <c r="D5" s="1">
        <v>172</v>
      </c>
      <c r="E5" s="8">
        <v>17287</v>
      </c>
      <c r="F5" s="9">
        <v>0.0099</v>
      </c>
      <c r="G5" s="1" t="s">
        <v>21</v>
      </c>
      <c r="H5" s="1">
        <v>0.39</v>
      </c>
      <c r="I5" s="1">
        <v>67.18</v>
      </c>
      <c r="J5" s="1">
        <v>0</v>
      </c>
      <c r="K5" s="1">
        <v>0</v>
      </c>
      <c r="L5" s="1">
        <v>170</v>
      </c>
      <c r="M5" s="1">
        <v>0</v>
      </c>
      <c r="N5" s="1">
        <v>0.4</v>
      </c>
      <c r="O5" s="9">
        <v>0.3632</v>
      </c>
    </row>
    <row r="7" s="4" customFormat="1" spans="1:15">
      <c r="A7" s="4" t="s">
        <v>22</v>
      </c>
      <c r="B7" s="4" t="s">
        <v>23</v>
      </c>
      <c r="C7" s="4" t="s">
        <v>24</v>
      </c>
      <c r="D7" s="14" t="s">
        <v>25</v>
      </c>
    </row>
    <row r="8" spans="1:15">
      <c r="A8" t="s">
        <v>11</v>
      </c>
      <c r="B8">
        <f>I5</f>
        <v>67.18</v>
      </c>
      <c r="C8">
        <v>69.77</v>
      </c>
      <c r="D8" s="16">
        <f>(B8-C8)/C8</f>
        <v>-0.0371219721943527</v>
      </c>
    </row>
    <row r="9" spans="1:15">
      <c r="A9" t="s">
        <v>26</v>
      </c>
      <c r="B9" s="27">
        <f>E5</f>
        <v>17287</v>
      </c>
      <c r="C9">
        <v>16642</v>
      </c>
      <c r="D9" s="16">
        <f>(B9-C9)/C9</f>
        <v>0.0387573608941233</v>
      </c>
    </row>
    <row r="10" spans="1:15">
      <c r="A10" t="s">
        <v>27</v>
      </c>
      <c r="B10">
        <f>D5</f>
        <v>172</v>
      </c>
      <c r="C10">
        <v>190</v>
      </c>
      <c r="D10" s="16">
        <f t="shared" ref="D9:D15" si="0">(B10-C10)/C10</f>
        <v>-0.0947368421052632</v>
      </c>
    </row>
    <row r="11" spans="1:15">
      <c r="A11" s="28" t="s">
        <v>10</v>
      </c>
      <c r="B11">
        <f>H5</f>
        <v>0.39</v>
      </c>
      <c r="C11">
        <v>0.37</v>
      </c>
      <c r="D11" s="16">
        <f t="shared" si="0"/>
        <v>0.0540540540540541</v>
      </c>
    </row>
    <row r="12" spans="1:15">
      <c r="A12" s="28" t="s">
        <v>8</v>
      </c>
      <c r="B12" s="10">
        <f>F5</f>
        <v>0.0099</v>
      </c>
      <c r="C12" s="10">
        <v>0.0114</v>
      </c>
      <c r="D12" s="16">
        <f t="shared" si="0"/>
        <v>-0.131578947368421</v>
      </c>
    </row>
    <row r="13" spans="1:15">
      <c r="A13" t="s">
        <v>28</v>
      </c>
      <c r="B13">
        <f>L5</f>
        <v>170</v>
      </c>
      <c r="C13">
        <v>188</v>
      </c>
      <c r="D13" s="16">
        <f t="shared" si="0"/>
        <v>-0.0957446808510638</v>
      </c>
    </row>
    <row r="14" spans="1:15">
      <c r="A14" s="24" t="s">
        <v>29</v>
      </c>
      <c r="B14" s="29">
        <f>N5</f>
        <v>0.4</v>
      </c>
      <c r="C14" s="24">
        <v>0.37</v>
      </c>
      <c r="D14" s="30">
        <f t="shared" si="0"/>
        <v>0.0810810810810812</v>
      </c>
    </row>
    <row r="15" spans="1:15">
      <c r="A15" t="s">
        <v>17</v>
      </c>
      <c r="B15" s="12">
        <f>O5</f>
        <v>0.3632</v>
      </c>
      <c r="C15" s="10">
        <v>0.3723</v>
      </c>
      <c r="D15" s="16">
        <f t="shared" si="0"/>
        <v>-0.0244426537738383</v>
      </c>
    </row>
    <row r="17" spans="1:1">
      <c r="A17" s="33" t="s">
        <v>30</v>
      </c>
    </row>
    <row r="19" s="4" customFormat="1" spans="1:1">
      <c r="A19" s="4" t="s">
        <v>31</v>
      </c>
    </row>
    <row r="20" s="4" customFormat="1" spans="1:1">
      <c r="A20" s="4" t="s">
        <v>32</v>
      </c>
    </row>
    <row r="33" customFormat="1"/>
    <row r="34" customFormat="1"/>
    <row r="35" customFormat="1"/>
    <row r="36" s="4" customFormat="1" spans="1:13">
      <c r="A36" s="4" t="s">
        <v>22</v>
      </c>
      <c r="B36" s="4" t="s">
        <v>23</v>
      </c>
      <c r="C36" s="4" t="s">
        <v>24</v>
      </c>
      <c r="D36" s="4" t="s">
        <v>25</v>
      </c>
    </row>
    <row r="37" spans="1:13">
      <c r="A37" t="s">
        <v>11</v>
      </c>
      <c r="B37">
        <v>694.39</v>
      </c>
      <c r="C37">
        <v>703.24</v>
      </c>
      <c r="D37" s="34">
        <f t="shared" ref="D37:D43" si="1">(B37-C37)/C37</f>
        <v>-0.012584608384051</v>
      </c>
    </row>
    <row r="38" spans="1:13">
      <c r="A38" t="s">
        <v>33</v>
      </c>
      <c r="B38">
        <v>13</v>
      </c>
      <c r="C38">
        <v>17</v>
      </c>
      <c r="D38" s="34">
        <f t="shared" si="1"/>
        <v>-0.235294117647059</v>
      </c>
    </row>
    <row r="39" spans="1:13">
      <c r="A39" s="24" t="s">
        <v>34</v>
      </c>
      <c r="B39" s="24">
        <v>58.46</v>
      </c>
      <c r="C39" s="24">
        <v>41.37</v>
      </c>
      <c r="D39" s="35">
        <f t="shared" si="1"/>
        <v>0.413101281121586</v>
      </c>
    </row>
    <row r="40" spans="1:13">
      <c r="A40" t="s">
        <v>26</v>
      </c>
      <c r="B40" s="27">
        <v>13962</v>
      </c>
      <c r="C40" s="27">
        <v>16652</v>
      </c>
      <c r="D40" s="34">
        <f t="shared" si="1"/>
        <v>-0.161542157098246</v>
      </c>
    </row>
    <row r="41" spans="1:13">
      <c r="A41" t="s">
        <v>27</v>
      </c>
      <c r="B41">
        <v>47</v>
      </c>
      <c r="C41">
        <v>58</v>
      </c>
      <c r="D41" s="34">
        <f t="shared" si="1"/>
        <v>-0.189655172413793</v>
      </c>
    </row>
    <row r="42" spans="1:13">
      <c r="A42" t="s">
        <v>35</v>
      </c>
      <c r="B42">
        <v>14.77</v>
      </c>
      <c r="C42">
        <v>12.12</v>
      </c>
      <c r="D42" s="34">
        <f t="shared" si="1"/>
        <v>0.218646864686469</v>
      </c>
    </row>
    <row r="43" spans="1:13">
      <c r="A43" t="s">
        <v>8</v>
      </c>
      <c r="B43" s="12">
        <v>0.0034</v>
      </c>
      <c r="C43" s="12">
        <v>0.0035</v>
      </c>
      <c r="D43" s="34">
        <f t="shared" si="1"/>
        <v>-0.0285714285714284</v>
      </c>
    </row>
    <row r="45" s="3" customFormat="1" spans="1:13">
      <c r="A45" s="3" t="s">
        <v>36</v>
      </c>
    </row>
    <row r="46" s="4" customFormat="1"/>
    <row r="47" s="4" customFormat="1" spans="1:13">
      <c r="A47" s="4" t="s">
        <v>37</v>
      </c>
    </row>
    <row r="48" s="28" customFormat="1" spans="1:13">
      <c r="A48" s="1" t="s">
        <v>38</v>
      </c>
      <c r="B48" s="1" t="s">
        <v>39</v>
      </c>
      <c r="C48" s="1" t="s">
        <v>40</v>
      </c>
      <c r="D48" s="1" t="s">
        <v>41</v>
      </c>
      <c r="E48" s="1" t="s">
        <v>42</v>
      </c>
      <c r="F48" s="1" t="s">
        <v>43</v>
      </c>
      <c r="G48" s="1" t="s">
        <v>44</v>
      </c>
      <c r="H48" s="1" t="s">
        <v>45</v>
      </c>
      <c r="I48" s="1" t="s">
        <v>46</v>
      </c>
      <c r="J48" s="1" t="s">
        <v>47</v>
      </c>
      <c r="K48" s="1" t="s">
        <v>48</v>
      </c>
      <c r="L48" s="1" t="s">
        <v>49</v>
      </c>
      <c r="M48" s="1" t="s">
        <v>50</v>
      </c>
    </row>
    <row r="49" s="28" customFormat="1" spans="1:13">
      <c r="A49" s="1" t="s">
        <v>51</v>
      </c>
      <c r="B49" s="1" t="s">
        <v>52</v>
      </c>
      <c r="C49" s="1">
        <v>11421</v>
      </c>
      <c r="D49" s="1">
        <v>141</v>
      </c>
      <c r="E49" s="1">
        <v>1</v>
      </c>
      <c r="F49" s="1">
        <v>206.05</v>
      </c>
      <c r="G49" s="1">
        <v>0.0123</v>
      </c>
      <c r="H49" s="1">
        <v>1.46</v>
      </c>
      <c r="I49" s="1">
        <v>18.04</v>
      </c>
      <c r="J49" s="1">
        <v>30</v>
      </c>
      <c r="K49" s="1" t="s">
        <v>53</v>
      </c>
      <c r="L49" s="1" t="s">
        <v>54</v>
      </c>
      <c r="M49" s="1"/>
    </row>
    <row r="50" spans="1:13">
      <c r="A50" t="s">
        <v>55</v>
      </c>
      <c r="C50">
        <f>SUM(C49)</f>
        <v>11421</v>
      </c>
      <c r="D50">
        <f>SUM(D49)</f>
        <v>141</v>
      </c>
      <c r="E50">
        <f t="shared" ref="E50:J50" si="2">SUM(E49)</f>
        <v>1</v>
      </c>
      <c r="F50">
        <f t="shared" si="2"/>
        <v>206.05</v>
      </c>
      <c r="G50" s="10">
        <f>D50/C50</f>
        <v>0.0123456790123457</v>
      </c>
      <c r="H50" s="11">
        <f>F50/D50</f>
        <v>1.4613475177305</v>
      </c>
      <c r="I50" s="11">
        <f>F50*1000/C50</f>
        <v>18.0413273793888</v>
      </c>
      <c r="J50">
        <f t="shared" si="2"/>
        <v>30</v>
      </c>
    </row>
    <row r="52" spans="1:13">
      <c r="A52" s="4" t="s">
        <v>22</v>
      </c>
      <c r="B52" s="4" t="s">
        <v>23</v>
      </c>
      <c r="C52" s="4" t="s">
        <v>24</v>
      </c>
      <c r="D52" s="4" t="s">
        <v>25</v>
      </c>
    </row>
    <row r="53" spans="1:13">
      <c r="A53" t="s">
        <v>11</v>
      </c>
      <c r="B53">
        <f>F50</f>
        <v>206.05</v>
      </c>
      <c r="C53">
        <v>189.08</v>
      </c>
      <c r="D53" s="34">
        <f>(B53-C53)/C53</f>
        <v>0.0897503702136662</v>
      </c>
    </row>
    <row r="54" spans="1:13">
      <c r="A54" t="s">
        <v>28</v>
      </c>
      <c r="B54">
        <f>E50</f>
        <v>1</v>
      </c>
      <c r="C54" s="36">
        <v>2</v>
      </c>
      <c r="D54" s="34">
        <f t="shared" ref="D54:D59" si="3">(B54-C54)/C54</f>
        <v>-0.5</v>
      </c>
    </row>
    <row r="55" spans="1:13">
      <c r="A55" s="24" t="s">
        <v>29</v>
      </c>
      <c r="B55" s="37">
        <f>B53/B54</f>
        <v>206.05</v>
      </c>
      <c r="C55" s="37">
        <v>94.54</v>
      </c>
      <c r="D55" s="35">
        <f t="shared" si="3"/>
        <v>1.17950074042733</v>
      </c>
    </row>
    <row r="56" spans="1:13">
      <c r="A56" t="s">
        <v>26</v>
      </c>
      <c r="B56" s="17">
        <f>C50</f>
        <v>11421</v>
      </c>
      <c r="C56" s="17">
        <v>9987</v>
      </c>
      <c r="D56" s="34">
        <f t="shared" si="3"/>
        <v>0.14358666266146</v>
      </c>
    </row>
    <row r="57" spans="1:13">
      <c r="A57" t="s">
        <v>27</v>
      </c>
      <c r="B57">
        <f>D50</f>
        <v>141</v>
      </c>
      <c r="C57">
        <v>76</v>
      </c>
      <c r="D57" s="34">
        <f t="shared" si="3"/>
        <v>0.855263157894737</v>
      </c>
    </row>
    <row r="58" spans="1:13">
      <c r="A58" t="s">
        <v>35</v>
      </c>
      <c r="B58" s="11">
        <f>H50</f>
        <v>1.4613475177305</v>
      </c>
      <c r="C58" s="11">
        <v>2.48789473684211</v>
      </c>
      <c r="D58" s="34">
        <f t="shared" si="3"/>
        <v>-0.412616821728805</v>
      </c>
    </row>
    <row r="59" spans="1:13">
      <c r="A59" t="s">
        <v>8</v>
      </c>
      <c r="B59" s="12">
        <f>G50</f>
        <v>0.0123456790123457</v>
      </c>
      <c r="C59" s="12">
        <v>0.00760989286071893</v>
      </c>
      <c r="D59" s="34">
        <f t="shared" si="3"/>
        <v>0.622319688109163</v>
      </c>
    </row>
    <row r="61" s="3" customFormat="1" spans="1:13">
      <c r="A61" s="3" t="s">
        <v>56</v>
      </c>
    </row>
    <row r="62" spans="1:13">
      <c r="A62" t="s">
        <v>57</v>
      </c>
    </row>
    <row r="63" customFormat="1"/>
    <row r="64" s="4" customFormat="1" spans="1:13">
      <c r="A64" s="4" t="s">
        <v>58</v>
      </c>
    </row>
    <row r="65" s="32" customFormat="1" spans="1:11">
      <c r="A65" s="38" t="s">
        <v>59</v>
      </c>
      <c r="B65" s="38" t="s">
        <v>60</v>
      </c>
      <c r="C65" s="38" t="s">
        <v>61</v>
      </c>
      <c r="D65" s="38" t="s">
        <v>62</v>
      </c>
      <c r="E65" s="38" t="s">
        <v>63</v>
      </c>
      <c r="F65" s="38" t="s">
        <v>64</v>
      </c>
      <c r="G65" s="38" t="s">
        <v>8</v>
      </c>
      <c r="H65" s="38" t="s">
        <v>65</v>
      </c>
      <c r="I65" s="38" t="s">
        <v>66</v>
      </c>
      <c r="J65" s="38" t="s">
        <v>67</v>
      </c>
      <c r="K65" s="38" t="s">
        <v>68</v>
      </c>
    </row>
    <row r="66" s="32" customFormat="1" spans="1:11">
      <c r="A66" s="39" t="s">
        <v>69</v>
      </c>
      <c r="B66" s="39" t="s">
        <v>70</v>
      </c>
      <c r="C66" s="39" t="s">
        <v>71</v>
      </c>
      <c r="D66" s="40">
        <v>1524903</v>
      </c>
      <c r="E66" s="41">
        <v>199.991304</v>
      </c>
      <c r="F66" s="40">
        <v>787</v>
      </c>
      <c r="G66" s="42">
        <v>0.000516098401013048</v>
      </c>
      <c r="H66" s="41">
        <v>0.131150180700018</v>
      </c>
      <c r="I66" s="41">
        <v>0.254118556543837</v>
      </c>
      <c r="J66" s="40">
        <v>0</v>
      </c>
      <c r="K66" s="39" t="s">
        <v>72</v>
      </c>
    </row>
    <row r="67" s="32" customFormat="1" spans="1:11">
      <c r="A67" s="39" t="s">
        <v>69</v>
      </c>
      <c r="B67" s="39" t="s">
        <v>73</v>
      </c>
      <c r="C67" s="39" t="s">
        <v>71</v>
      </c>
      <c r="D67" s="40">
        <v>284687</v>
      </c>
      <c r="E67" s="41">
        <v>152.306477</v>
      </c>
      <c r="F67" s="40">
        <v>332</v>
      </c>
      <c r="G67" s="42">
        <v>0.00116619304710085</v>
      </c>
      <c r="H67" s="41">
        <v>0.534996248511523</v>
      </c>
      <c r="I67" s="41">
        <v>0.458754448795181</v>
      </c>
      <c r="J67" s="40">
        <v>0</v>
      </c>
      <c r="K67" s="39" t="s">
        <v>72</v>
      </c>
    </row>
    <row r="68" s="32" customFormat="1" spans="1:11">
      <c r="D68" s="43">
        <f>SUM(D66:D67)</f>
        <v>1809590</v>
      </c>
      <c r="E68" s="44">
        <f>SUM(E66:E67)</f>
        <v>352.297781</v>
      </c>
      <c r="F68" s="43">
        <f>SUM(F66:F67)</f>
        <v>1119</v>
      </c>
      <c r="G68" s="45">
        <v>0.000573</v>
      </c>
      <c r="H68" s="44">
        <v>0.1572</v>
      </c>
      <c r="I68" s="44">
        <v>0.2743</v>
      </c>
      <c r="J68" s="43">
        <f>SUM(J66:J67)</f>
        <v>0</v>
      </c>
      <c r="K68" s="44"/>
    </row>
    <row r="69" spans="1:11">
      <c r="C69" s="46"/>
    </row>
    <row r="70" spans="1:11">
      <c r="A70" s="4" t="s">
        <v>22</v>
      </c>
      <c r="B70" s="4" t="s">
        <v>23</v>
      </c>
      <c r="C70" s="4" t="s">
        <v>24</v>
      </c>
      <c r="D70" s="4" t="s">
        <v>25</v>
      </c>
    </row>
    <row r="71" spans="1:11">
      <c r="A71" t="s">
        <v>11</v>
      </c>
      <c r="B71" s="7">
        <f>E68</f>
        <v>352.297781</v>
      </c>
      <c r="C71" s="11">
        <v>160.644984</v>
      </c>
      <c r="D71" s="34">
        <f>(B71-C71)/C71</f>
        <v>1.19302073571124</v>
      </c>
    </row>
    <row r="72" spans="1:11">
      <c r="A72" t="s">
        <v>74</v>
      </c>
      <c r="B72" s="17">
        <f>J68</f>
        <v>0</v>
      </c>
      <c r="C72">
        <v>2</v>
      </c>
      <c r="D72" s="34">
        <f t="shared" ref="D72:D77" si="4">(B72-C72)/C72</f>
        <v>-1</v>
      </c>
    </row>
    <row r="73" spans="1:11">
      <c r="A73" s="24" t="s">
        <v>68</v>
      </c>
      <c r="B73" s="7">
        <f>K68</f>
        <v>0</v>
      </c>
      <c r="C73" s="11">
        <v>80.322492</v>
      </c>
      <c r="D73" s="34">
        <f t="shared" si="4"/>
        <v>-1</v>
      </c>
    </row>
    <row r="74" spans="1:11">
      <c r="A74" t="s">
        <v>26</v>
      </c>
      <c r="B74" s="17">
        <f>D68</f>
        <v>1809590</v>
      </c>
      <c r="C74" s="17">
        <v>365437</v>
      </c>
      <c r="D74" s="34">
        <f t="shared" si="4"/>
        <v>3.95185216603683</v>
      </c>
    </row>
    <row r="75" spans="1:11">
      <c r="A75" t="s">
        <v>27</v>
      </c>
      <c r="B75" s="17">
        <f>F68</f>
        <v>1119</v>
      </c>
      <c r="C75">
        <v>420</v>
      </c>
      <c r="D75" s="34">
        <f t="shared" si="4"/>
        <v>1.66428571428571</v>
      </c>
    </row>
    <row r="76" spans="1:11">
      <c r="A76" t="s">
        <v>35</v>
      </c>
      <c r="B76" s="7">
        <f>I68</f>
        <v>0.2743</v>
      </c>
      <c r="C76" s="11">
        <v>0.382488057142857</v>
      </c>
      <c r="D76" s="34">
        <f t="shared" si="4"/>
        <v>-0.282853425414142</v>
      </c>
    </row>
    <row r="77" spans="1:11">
      <c r="A77" t="s">
        <v>8</v>
      </c>
      <c r="B77" s="10">
        <f>G68</f>
        <v>0.000573</v>
      </c>
      <c r="C77" s="10">
        <v>0.00114930890960685</v>
      </c>
      <c r="D77" s="34">
        <f t="shared" si="4"/>
        <v>-0.50143952142857</v>
      </c>
    </row>
    <row r="79" s="3" customFormat="1" spans="1:11">
      <c r="A79" s="3" t="s">
        <v>75</v>
      </c>
    </row>
    <row r="80" spans="1:11">
      <c r="A80" t="s">
        <v>76</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0"/>
  <sheetViews>
    <sheetView topLeftCell="A25" workbookViewId="0">
      <selection activeCell="B50" sqref="B50"/>
    </sheetView>
  </sheetViews>
  <sheetFormatPr defaultColWidth="8.88888888888889" defaultRowHeight="14.4"/>
  <cols>
    <col min="1" max="1" width="25.2222222222222" customWidth="1"/>
    <col min="2" max="2" width="9.88888888888889" customWidth="1"/>
    <col min="3" max="3" width="14.2222222222222" customWidth="1"/>
    <col min="4" max="4" width="11.8888888888889" customWidth="1"/>
  </cols>
  <sheetData>
    <row r="1" spans="1:15">
      <c r="A1" t="s">
        <v>77</v>
      </c>
    </row>
    <row r="2" s="1" customFormat="1" spans="1:15">
      <c r="A2" s="1" t="s">
        <v>1</v>
      </c>
    </row>
    <row r="3" s="1" customFormat="1" spans="1:15">
      <c r="A3" s="1" t="s">
        <v>2</v>
      </c>
    </row>
    <row r="4" s="1" customFormat="1"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1" customFormat="1" spans="1:15">
      <c r="A5" s="1" t="s">
        <v>78</v>
      </c>
      <c r="B5" s="1" t="s">
        <v>19</v>
      </c>
      <c r="C5" s="1" t="s">
        <v>20</v>
      </c>
      <c r="D5" s="1">
        <v>111</v>
      </c>
      <c r="E5" s="8">
        <v>11961</v>
      </c>
      <c r="F5" s="9">
        <v>0.0093</v>
      </c>
      <c r="G5" s="1" t="s">
        <v>21</v>
      </c>
      <c r="H5" s="1">
        <v>0.55</v>
      </c>
      <c r="I5" s="1">
        <v>60.82</v>
      </c>
      <c r="J5" s="1">
        <v>0</v>
      </c>
      <c r="K5" s="1">
        <v>0</v>
      </c>
      <c r="L5" s="1">
        <v>79</v>
      </c>
      <c r="M5" s="1">
        <v>0</v>
      </c>
      <c r="N5" s="1">
        <v>0.77</v>
      </c>
      <c r="O5" s="9">
        <v>0.238</v>
      </c>
    </row>
    <row r="7" spans="1:15">
      <c r="A7" s="4" t="s">
        <v>22</v>
      </c>
      <c r="B7" s="4" t="s">
        <v>23</v>
      </c>
      <c r="C7" s="4" t="s">
        <v>24</v>
      </c>
      <c r="D7" s="14" t="s">
        <v>25</v>
      </c>
    </row>
    <row r="8" spans="1:15">
      <c r="A8" t="s">
        <v>11</v>
      </c>
      <c r="B8">
        <f>I5</f>
        <v>60.82</v>
      </c>
      <c r="D8" s="16" t="e">
        <f t="shared" ref="D8:D15" si="0">(B8-C8)/C8</f>
        <v>#DIV/0!</v>
      </c>
    </row>
    <row r="9" spans="1:15">
      <c r="A9" t="s">
        <v>26</v>
      </c>
      <c r="B9" s="27">
        <f>E5</f>
        <v>11961</v>
      </c>
      <c r="D9" s="16" t="e">
        <f t="shared" si="0"/>
        <v>#DIV/0!</v>
      </c>
    </row>
    <row r="10" spans="1:15">
      <c r="A10" t="s">
        <v>27</v>
      </c>
      <c r="B10">
        <f>D5</f>
        <v>111</v>
      </c>
      <c r="D10" s="16" t="e">
        <f t="shared" si="0"/>
        <v>#DIV/0!</v>
      </c>
    </row>
    <row r="11" spans="1:15">
      <c r="A11" s="28" t="s">
        <v>10</v>
      </c>
      <c r="B11">
        <f>H5</f>
        <v>0.55</v>
      </c>
      <c r="D11" s="16" t="e">
        <f t="shared" si="0"/>
        <v>#DIV/0!</v>
      </c>
    </row>
    <row r="12" spans="1:15">
      <c r="A12" s="28" t="s">
        <v>8</v>
      </c>
      <c r="B12" s="10">
        <f>F5</f>
        <v>0.0093</v>
      </c>
      <c r="C12" s="10"/>
      <c r="D12" s="16" t="e">
        <f t="shared" si="0"/>
        <v>#DIV/0!</v>
      </c>
    </row>
    <row r="13" spans="1:15">
      <c r="A13" t="s">
        <v>28</v>
      </c>
      <c r="B13">
        <f>L5</f>
        <v>79</v>
      </c>
      <c r="D13" s="16" t="e">
        <f t="shared" si="0"/>
        <v>#DIV/0!</v>
      </c>
    </row>
    <row r="14" spans="1:15">
      <c r="A14" s="24" t="s">
        <v>29</v>
      </c>
      <c r="B14" s="29">
        <f>N5</f>
        <v>0.77</v>
      </c>
      <c r="C14" s="24"/>
      <c r="D14" s="30" t="e">
        <f t="shared" si="0"/>
        <v>#DIV/0!</v>
      </c>
    </row>
    <row r="15" spans="1:15">
      <c r="A15" t="s">
        <v>17</v>
      </c>
      <c r="B15" s="12">
        <f>O5</f>
        <v>0.238</v>
      </c>
      <c r="C15" s="10"/>
      <c r="D15" s="16" t="e">
        <f t="shared" si="0"/>
        <v>#DIV/0!</v>
      </c>
    </row>
    <row r="17" spans="1:1">
      <c r="A17" t="s">
        <v>79</v>
      </c>
    </row>
    <row r="20" s="4" customFormat="1" spans="1:1">
      <c r="A20" s="4" t="s">
        <v>31</v>
      </c>
    </row>
    <row r="21" s="4" customFormat="1" spans="1:1">
      <c r="A21" s="4" t="s">
        <v>80</v>
      </c>
    </row>
    <row r="41" spans="1:4">
      <c r="A41" s="4" t="s">
        <v>22</v>
      </c>
      <c r="B41" s="4" t="s">
        <v>23</v>
      </c>
      <c r="C41" s="4" t="s">
        <v>24</v>
      </c>
      <c r="D41" s="4" t="s">
        <v>25</v>
      </c>
    </row>
    <row r="42" spans="1:4">
      <c r="A42" t="s">
        <v>11</v>
      </c>
      <c r="B42">
        <v>852.31</v>
      </c>
      <c r="C42">
        <v>884.08</v>
      </c>
      <c r="D42" s="16">
        <f>(B42-C42)/C42</f>
        <v>-0.0359356619310471</v>
      </c>
    </row>
    <row r="43" spans="1:4">
      <c r="A43" t="s">
        <v>33</v>
      </c>
      <c r="B43" s="27"/>
      <c r="C43"/>
      <c r="D43" s="16" t="e">
        <f t="shared" ref="D43:D48" si="1">(B43-C43)/C43</f>
        <v>#DIV/0!</v>
      </c>
    </row>
    <row r="44" spans="1:4">
      <c r="A44" t="s">
        <v>34</v>
      </c>
      <c r="D44" s="16" t="e">
        <f t="shared" si="1"/>
        <v>#DIV/0!</v>
      </c>
    </row>
    <row r="45" spans="1:4">
      <c r="A45" t="s">
        <v>26</v>
      </c>
      <c r="B45" s="27">
        <v>18154</v>
      </c>
      <c r="C45" s="27">
        <v>16110</v>
      </c>
      <c r="D45" s="16">
        <f t="shared" si="1"/>
        <v>0.126877715704531</v>
      </c>
    </row>
    <row r="46" spans="1:4">
      <c r="A46" t="s">
        <v>27</v>
      </c>
      <c r="B46">
        <v>359</v>
      </c>
      <c r="C46">
        <v>346</v>
      </c>
      <c r="D46" s="16">
        <f t="shared" si="1"/>
        <v>0.0375722543352601</v>
      </c>
    </row>
    <row r="47" spans="1:4">
      <c r="A47" t="s">
        <v>35</v>
      </c>
      <c r="B47">
        <v>2.37</v>
      </c>
      <c r="C47">
        <v>2.56</v>
      </c>
      <c r="D47" s="16">
        <f t="shared" si="1"/>
        <v>-0.07421875</v>
      </c>
    </row>
    <row r="48" spans="1:4">
      <c r="A48" t="s">
        <v>8</v>
      </c>
      <c r="B48" s="31">
        <v>0.0198</v>
      </c>
      <c r="C48" s="31">
        <v>0.0215</v>
      </c>
      <c r="D48" s="16">
        <f t="shared" si="1"/>
        <v>-0.0790697674418605</v>
      </c>
    </row>
    <row r="49" ht="13" customHeight="1"/>
    <row r="50" s="3" customFormat="1" spans="1:1">
      <c r="A50" s="3" t="s">
        <v>81</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7"/>
  <sheetViews>
    <sheetView zoomScale="85" zoomScaleNormal="85" topLeftCell="A21" workbookViewId="0">
      <selection activeCell="B42" sqref="B42"/>
    </sheetView>
  </sheetViews>
  <sheetFormatPr defaultColWidth="8.88888888888889" defaultRowHeight="14.4"/>
  <cols>
    <col min="1" max="1" width="33.2222222222222" customWidth="1"/>
    <col min="2" max="2" width="14.7777777777778" style="7" customWidth="1"/>
    <col min="3" max="3" width="17" customWidth="1"/>
    <col min="4" max="4" width="8.66666666666667" customWidth="1"/>
    <col min="5" max="5" width="7.11111111111111" customWidth="1"/>
    <col min="6" max="6" width="6.66666666666667" customWidth="1"/>
    <col min="7" max="7" width="8.77777777777778" customWidth="1"/>
    <col min="8" max="8" width="7.66666666666667" customWidth="1"/>
    <col min="9" max="9" width="17.2222222222222" customWidth="1"/>
    <col min="10" max="10" width="12.8888888888889" customWidth="1"/>
    <col min="11" max="11" width="11.7777777777778" customWidth="1"/>
    <col min="12" max="12" width="11.6666666666667" customWidth="1"/>
    <col min="13" max="13" width="10.1111111111111" customWidth="1"/>
    <col min="14" max="14" width="11.6666666666667" customWidth="1"/>
    <col min="15" max="15" width="10.1111111111111" customWidth="1"/>
  </cols>
  <sheetData>
    <row r="1" spans="1:15">
      <c r="A1" s="4" t="s">
        <v>0</v>
      </c>
    </row>
    <row r="2" s="1" customFormat="1" spans="1:15">
      <c r="A2" s="1" t="s">
        <v>1</v>
      </c>
    </row>
    <row r="3" s="1" customFormat="1" spans="1:15">
      <c r="A3" s="1" t="s">
        <v>2</v>
      </c>
    </row>
    <row r="4" s="1" customFormat="1"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1" customFormat="1" spans="1:15">
      <c r="A5" s="1" t="s">
        <v>82</v>
      </c>
      <c r="B5" s="1" t="s">
        <v>19</v>
      </c>
      <c r="C5" s="1" t="s">
        <v>83</v>
      </c>
      <c r="D5" s="1">
        <v>39</v>
      </c>
      <c r="E5" s="8">
        <v>1427</v>
      </c>
      <c r="F5" s="9">
        <v>0.0273</v>
      </c>
      <c r="G5" s="1" t="s">
        <v>21</v>
      </c>
      <c r="H5" s="1">
        <v>4.92</v>
      </c>
      <c r="I5" s="1">
        <v>191.82</v>
      </c>
      <c r="J5" s="1">
        <v>0</v>
      </c>
      <c r="K5" s="1">
        <v>0</v>
      </c>
      <c r="L5" s="1">
        <v>1</v>
      </c>
      <c r="M5" s="1">
        <v>0</v>
      </c>
      <c r="N5" s="1">
        <v>191.82</v>
      </c>
      <c r="O5" s="9">
        <v>0.0043</v>
      </c>
    </row>
    <row r="6" s="1" customFormat="1" spans="1:15">
      <c r="A6" s="1" t="s">
        <v>84</v>
      </c>
      <c r="B6" s="1" t="s">
        <v>19</v>
      </c>
      <c r="C6" s="1" t="s">
        <v>85</v>
      </c>
      <c r="D6" s="1">
        <v>57</v>
      </c>
      <c r="E6" s="8">
        <v>1320</v>
      </c>
      <c r="F6" s="9">
        <v>0.0432</v>
      </c>
      <c r="G6" s="1" t="s">
        <v>21</v>
      </c>
      <c r="H6" s="1">
        <v>3.98</v>
      </c>
      <c r="I6" s="1">
        <v>226.69</v>
      </c>
      <c r="J6" s="9">
        <v>0.1859</v>
      </c>
      <c r="K6" s="9">
        <v>0.6667</v>
      </c>
      <c r="L6" s="1">
        <v>1</v>
      </c>
      <c r="M6" s="1">
        <v>0</v>
      </c>
      <c r="N6" s="1">
        <v>226.69</v>
      </c>
      <c r="O6" s="9">
        <v>0.0175</v>
      </c>
    </row>
    <row r="7" s="1" customFormat="1" spans="1:15">
      <c r="A7" s="1" t="s">
        <v>86</v>
      </c>
      <c r="B7" s="1" t="s">
        <v>19</v>
      </c>
      <c r="C7" s="1" t="s">
        <v>83</v>
      </c>
      <c r="D7" s="1">
        <v>522</v>
      </c>
      <c r="E7" s="8">
        <v>9129</v>
      </c>
      <c r="F7" s="9">
        <v>0.0572</v>
      </c>
      <c r="G7" s="1" t="s">
        <v>21</v>
      </c>
      <c r="H7" s="1">
        <v>1.55</v>
      </c>
      <c r="I7" s="1">
        <v>809.93</v>
      </c>
      <c r="J7" s="1">
        <v>0</v>
      </c>
      <c r="K7" s="1">
        <v>0</v>
      </c>
      <c r="L7" s="1">
        <v>20</v>
      </c>
      <c r="M7" s="1">
        <v>0</v>
      </c>
      <c r="N7" s="1">
        <v>40.5</v>
      </c>
      <c r="O7" s="9">
        <v>0.0074</v>
      </c>
    </row>
    <row r="8" spans="1:15">
      <c r="A8" t="s">
        <v>55</v>
      </c>
      <c r="D8">
        <f>SUM(D5:D7)</f>
        <v>618</v>
      </c>
      <c r="E8">
        <f>SUM(E5:E7)</f>
        <v>11876</v>
      </c>
      <c r="F8" s="10">
        <f>D8/E8</f>
        <v>0.0520377231391041</v>
      </c>
      <c r="H8" s="11">
        <f>I8/D8</f>
        <v>1.98776699029126</v>
      </c>
      <c r="I8">
        <f>SUM(I5:I7)</f>
        <v>1228.44</v>
      </c>
      <c r="J8" s="12"/>
      <c r="K8" s="12"/>
      <c r="L8">
        <f>SUM(L5:L7)</f>
        <v>22</v>
      </c>
      <c r="N8" s="11">
        <f>I8/L8</f>
        <v>55.8381818181818</v>
      </c>
      <c r="O8" s="13">
        <v>0.0102</v>
      </c>
    </row>
    <row r="10" spans="1:15">
      <c r="A10" s="4" t="s">
        <v>22</v>
      </c>
      <c r="B10" s="4" t="s">
        <v>23</v>
      </c>
      <c r="C10" s="4" t="s">
        <v>24</v>
      </c>
      <c r="D10" s="14" t="s">
        <v>25</v>
      </c>
    </row>
    <row r="11" spans="1:15">
      <c r="A11" t="s">
        <v>11</v>
      </c>
      <c r="B11" s="7">
        <f>I8</f>
        <v>1228.44</v>
      </c>
      <c r="C11" s="15">
        <v>1207.25</v>
      </c>
      <c r="D11" s="16">
        <f>(B11-C11)/C11</f>
        <v>0.0175522882584386</v>
      </c>
    </row>
    <row r="12" spans="1:15">
      <c r="A12" t="s">
        <v>26</v>
      </c>
      <c r="B12" s="7">
        <f>E8</f>
        <v>11876</v>
      </c>
      <c r="C12" s="15">
        <v>14395</v>
      </c>
      <c r="D12" s="16">
        <f>(B12-C12)/C12</f>
        <v>-0.174991316429316</v>
      </c>
    </row>
    <row r="13" spans="1:15">
      <c r="A13" t="s">
        <v>27</v>
      </c>
      <c r="B13" s="7">
        <f>D8</f>
        <v>618</v>
      </c>
      <c r="C13" s="15">
        <v>478</v>
      </c>
      <c r="D13" s="16">
        <f t="shared" ref="D12:D18" si="0">(B13-C13)/C13</f>
        <v>0.292887029288703</v>
      </c>
    </row>
    <row r="14" spans="1:15">
      <c r="A14" t="s">
        <v>35</v>
      </c>
      <c r="B14" s="7">
        <f>H8</f>
        <v>1.98776699029126</v>
      </c>
      <c r="C14" s="15">
        <v>2.52562761506276</v>
      </c>
      <c r="D14" s="16">
        <f t="shared" si="0"/>
        <v>-0.212961175101078</v>
      </c>
    </row>
    <row r="15" spans="1:15">
      <c r="A15" t="s">
        <v>8</v>
      </c>
      <c r="B15" s="10">
        <f>F8</f>
        <v>0.0520377231391041</v>
      </c>
      <c r="C15" s="10">
        <v>0.0332059742966308</v>
      </c>
      <c r="D15" s="16">
        <f t="shared" si="0"/>
        <v>0.567119298300007</v>
      </c>
    </row>
    <row r="16" spans="1:15">
      <c r="A16" t="s">
        <v>87</v>
      </c>
      <c r="B16" s="17">
        <v>22</v>
      </c>
      <c r="C16" s="18">
        <v>9</v>
      </c>
      <c r="D16" s="16">
        <f t="shared" si="0"/>
        <v>1.44444444444444</v>
      </c>
    </row>
    <row r="17" spans="1:13">
      <c r="A17" t="s">
        <v>88</v>
      </c>
      <c r="B17" s="7">
        <f>B11/B16</f>
        <v>55.8381818181818</v>
      </c>
      <c r="C17" s="15">
        <v>134.138888888889</v>
      </c>
      <c r="D17" s="16">
        <f t="shared" si="0"/>
        <v>-0.583728609348821</v>
      </c>
    </row>
    <row r="18" spans="1:13">
      <c r="A18" t="s">
        <v>89</v>
      </c>
      <c r="B18" s="17"/>
      <c r="C18" s="18"/>
      <c r="D18" s="16" t="e">
        <f t="shared" si="0"/>
        <v>#DIV/0!</v>
      </c>
    </row>
    <row r="20" spans="1:13">
      <c r="A20" t="s">
        <v>90</v>
      </c>
    </row>
    <row r="21" s="2" customFormat="1" spans="1:13">
      <c r="A21" s="2" t="s">
        <v>91</v>
      </c>
      <c r="B21" s="19"/>
    </row>
    <row r="22" s="3" customFormat="1" spans="1:13">
      <c r="B22" s="20"/>
    </row>
    <row r="24" s="4" customFormat="1" spans="1:13">
      <c r="A24" s="4" t="s">
        <v>31</v>
      </c>
      <c r="B24" s="21"/>
    </row>
    <row r="25" s="5" customFormat="1" spans="1:13">
      <c r="A25" s="5" t="s">
        <v>92</v>
      </c>
      <c r="B25" s="22"/>
    </row>
    <row r="27" s="4" customFormat="1" spans="1:13">
      <c r="A27" s="4" t="s">
        <v>93</v>
      </c>
      <c r="B27" s="21"/>
    </row>
    <row r="28" s="1" customFormat="1" spans="1:13">
      <c r="A28" s="1" t="s">
        <v>38</v>
      </c>
      <c r="B28" s="1" t="s">
        <v>94</v>
      </c>
      <c r="C28" s="1" t="s">
        <v>95</v>
      </c>
      <c r="D28" s="1" t="s">
        <v>40</v>
      </c>
      <c r="E28" s="1" t="s">
        <v>41</v>
      </c>
      <c r="F28" s="1" t="s">
        <v>42</v>
      </c>
      <c r="G28" s="1" t="s">
        <v>43</v>
      </c>
      <c r="H28" s="1" t="s">
        <v>44</v>
      </c>
      <c r="I28" s="1" t="s">
        <v>45</v>
      </c>
      <c r="J28" s="1" t="s">
        <v>46</v>
      </c>
      <c r="K28" s="1" t="s">
        <v>96</v>
      </c>
      <c r="L28" s="1" t="s">
        <v>97</v>
      </c>
      <c r="M28" s="1" t="s">
        <v>98</v>
      </c>
    </row>
    <row r="29" s="1" customFormat="1" spans="1:13">
      <c r="A29" s="1" t="s">
        <v>99</v>
      </c>
      <c r="B29" s="1" t="s">
        <v>100</v>
      </c>
      <c r="C29" s="1" t="s">
        <v>52</v>
      </c>
      <c r="D29" s="1">
        <v>4849</v>
      </c>
      <c r="E29" s="1">
        <v>50</v>
      </c>
      <c r="F29" s="1">
        <v>0</v>
      </c>
      <c r="G29" s="1">
        <v>393.77</v>
      </c>
      <c r="H29" s="1">
        <v>0.0103</v>
      </c>
      <c r="I29" s="1">
        <v>7.88</v>
      </c>
      <c r="J29" s="1">
        <v>81.21</v>
      </c>
      <c r="K29" s="1" t="s">
        <v>101</v>
      </c>
      <c r="L29" s="1" t="s">
        <v>102</v>
      </c>
    </row>
    <row r="30" s="1" customFormat="1" spans="1:13">
      <c r="A30" s="1" t="s">
        <v>99</v>
      </c>
      <c r="B30" s="1" t="s">
        <v>103</v>
      </c>
      <c r="C30" s="1" t="s">
        <v>52</v>
      </c>
      <c r="D30" s="1">
        <v>143</v>
      </c>
      <c r="E30" s="1">
        <v>7</v>
      </c>
      <c r="F30" s="1">
        <v>0</v>
      </c>
      <c r="G30" s="1">
        <v>13.54</v>
      </c>
      <c r="H30" s="1">
        <v>0.049</v>
      </c>
      <c r="I30" s="1">
        <v>1.93</v>
      </c>
      <c r="J30" s="1">
        <v>94.65</v>
      </c>
      <c r="K30" s="1" t="s">
        <v>104</v>
      </c>
      <c r="L30" s="1" t="s">
        <v>102</v>
      </c>
    </row>
    <row r="31" customFormat="1" spans="1:13">
      <c r="A31" t="s">
        <v>105</v>
      </c>
      <c r="D31">
        <f>SUM(D29:D30)</f>
        <v>4992</v>
      </c>
      <c r="E31">
        <f>SUM(E29:E30)</f>
        <v>57</v>
      </c>
      <c r="F31">
        <f>SUM(F29:F30)</f>
        <v>0</v>
      </c>
      <c r="G31">
        <f>SUM(G29:G30)</f>
        <v>407.31</v>
      </c>
      <c r="H31" s="10">
        <f>E31/D31</f>
        <v>0.0114182692307692</v>
      </c>
      <c r="I31" s="11">
        <f>G31/E31</f>
        <v>7.14578947368421</v>
      </c>
    </row>
    <row r="33" spans="1:4">
      <c r="A33" s="4" t="s">
        <v>22</v>
      </c>
      <c r="B33" s="4" t="s">
        <v>23</v>
      </c>
      <c r="C33" s="4" t="s">
        <v>24</v>
      </c>
      <c r="D33" s="4" t="s">
        <v>25</v>
      </c>
    </row>
    <row r="34" spans="1:4">
      <c r="A34" t="s">
        <v>11</v>
      </c>
      <c r="B34" s="7">
        <f>G31</f>
        <v>407.31</v>
      </c>
      <c r="C34">
        <v>394.87</v>
      </c>
      <c r="D34" s="23">
        <f>(B34-C34)/C34</f>
        <v>0.0315040393040749</v>
      </c>
    </row>
    <row r="35" spans="1:4">
      <c r="A35" t="s">
        <v>28</v>
      </c>
      <c r="B35" s="7">
        <f>F31</f>
        <v>0</v>
      </c>
      <c r="C35">
        <v>0</v>
      </c>
      <c r="D35" s="23" t="e">
        <f t="shared" ref="D35:D40" si="1">(B35-C35)/C35</f>
        <v>#DIV/0!</v>
      </c>
    </row>
    <row r="36" spans="1:4">
      <c r="A36" s="24" t="s">
        <v>29</v>
      </c>
      <c r="B36" s="7" t="e">
        <f>B34/B35</f>
        <v>#DIV/0!</v>
      </c>
      <c r="C36" t="e">
        <v>#DIV/0!</v>
      </c>
      <c r="D36" s="23" t="e">
        <f t="shared" si="1"/>
        <v>#DIV/0!</v>
      </c>
    </row>
    <row r="37" spans="1:4">
      <c r="A37" t="s">
        <v>26</v>
      </c>
      <c r="B37" s="17">
        <f>D31</f>
        <v>4992</v>
      </c>
      <c r="C37" s="17">
        <v>6320</v>
      </c>
      <c r="D37" s="23">
        <f t="shared" si="1"/>
        <v>-0.210126582278481</v>
      </c>
    </row>
    <row r="38" spans="1:4">
      <c r="A38" t="s">
        <v>27</v>
      </c>
      <c r="B38" s="17">
        <f>E31</f>
        <v>57</v>
      </c>
      <c r="C38">
        <v>108</v>
      </c>
      <c r="D38" s="23">
        <f t="shared" si="1"/>
        <v>-0.472222222222222</v>
      </c>
    </row>
    <row r="39" spans="1:4">
      <c r="A39" t="s">
        <v>35</v>
      </c>
      <c r="B39" s="7">
        <f>I31</f>
        <v>7.14578947368421</v>
      </c>
      <c r="C39" s="11">
        <v>3.6562037037037</v>
      </c>
      <c r="D39" s="23">
        <f t="shared" si="1"/>
        <v>0.954428706049826</v>
      </c>
    </row>
    <row r="40" spans="1:4">
      <c r="A40" t="s">
        <v>8</v>
      </c>
      <c r="B40" s="10">
        <f>H31</f>
        <v>0.0114182692307692</v>
      </c>
      <c r="C40" s="10">
        <v>0.0170886075949367</v>
      </c>
      <c r="D40" s="23">
        <f t="shared" si="1"/>
        <v>-0.331819800569801</v>
      </c>
    </row>
    <row r="42" s="3" customFormat="1" spans="1:4">
      <c r="A42" s="3" t="s">
        <v>106</v>
      </c>
    </row>
    <row r="43" s="6" customFormat="1" spans="1:4">
      <c r="A43" s="3" t="s">
        <v>107</v>
      </c>
      <c r="B43" s="25"/>
    </row>
    <row r="44" spans="1:4">
      <c r="B44" s="17"/>
      <c r="C44" s="17"/>
      <c r="D44" s="26"/>
    </row>
    <row r="45" spans="1:4">
      <c r="B45" s="17"/>
      <c r="C45" s="17"/>
      <c r="D45" s="26"/>
    </row>
    <row r="46" spans="1:4">
      <c r="C46" s="7"/>
      <c r="D46" s="26"/>
    </row>
    <row r="47" spans="1:4">
      <c r="B47" s="10"/>
      <c r="C47" s="10"/>
      <c r="D47" s="2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Ballistix</vt:lpstr>
      <vt:lpstr>Automate IT</vt:lpstr>
      <vt:lpstr>Larsonpkg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thạch phạm</cp:lastModifiedBy>
  <dcterms:created xsi:type="dcterms:W3CDTF">2026-06-08T03:19:00Z</dcterms:created>
  <dcterms:modified xsi:type="dcterms:W3CDTF">2026-10-05T22:01:11Z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D27581EFA10141D889312E5282A2832A_13</vt:lpwstr>
  </property>
  <property fmtid="{D5CDD505-2E9C-101B-9397-08002B2CF9AE}" pid="3" name="KSOProductBuildVer">
    <vt:lpwstr>1033-12.1.0.24752</vt:lpwstr>
  </property>
  <property fmtid="{D5CDD505-2E9C-101B-9397-08002B2CF9AE}" pid="4" name="CalculationRule">
    <vt:i4>0</vt:i4>
  </property>
</Properties>
</file>